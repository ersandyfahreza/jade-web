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Pesanan" sheetId="2" state="visible" r:id="rId4"/>
    <sheet name="Tugas" sheetId="3" state="visible" r:id="rId5"/>
    <sheet name="Harga" sheetId="4" state="visible" r:id="rId6"/>
    <sheet name="Kalkulator" sheetId="5" state="visible" r:id="rId7"/>
    <sheet name="Contoh Uji" sheetId="6" state="visible" r:id="rId8"/>
    <sheet name="Rekap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<sst xmlns="http://schemas.openxmlformats.org/spreadsheetml/2006/main" count="323" uniqueCount="205">
  <si>
    <t xml:space="preserve">Template Spreadsheet Jade (Jadi sama Claude)</t>
  </si>
  <si>
    <t xml:space="preserve">Fungsi</t>
  </si>
  <si>
    <t xml:space="preserve">Basis data pesanan dan harga. Web nantinya membaca tab Tugas dan Harga, lalu menulis ke tab Pesanan.</t>
  </si>
  <si>
    <t xml:space="preserve">Warna sel</t>
  </si>
  <si>
    <t xml:space="preserve">Kuning = sel yang boleh kalian ubah (harga, pengaturan, input uji). Biru = angka yang diketik manual. Hitam = rumus, jangan ditimpa.</t>
  </si>
  <si>
    <t xml:space="preserve">Pesanan</t>
  </si>
  <si>
    <t xml:space="preserve">Satu baris per pesanan. Baris 2 adalah CONTOH (status Contoh), hapus sebelum dipakai sungguhan. Kode pesanan format JD-0001.</t>
  </si>
  <si>
    <t xml:space="preserve">Tugas</t>
  </si>
  <si>
    <t xml:space="preserve">Daftar tugas pelajar dan mahasiswa beserta harga dasar. Ubah harga di sini, bukan di kode web. Kolom Aktif = Tidak untuk menyembunyikan tugas.</t>
  </si>
  <si>
    <t xml:space="preserve">Harga</t>
  </si>
  <si>
    <t xml:space="preserve">Aturan lampiran, tambahan opsional, pengali kisaran, faktor tenggat, dan kebijakan layanan.</t>
  </si>
  <si>
    <t xml:space="preserve">Kalkulator</t>
  </si>
  <si>
    <t xml:space="preserve">Isi sel kuning untuk menguji estimasi. Rumusnya sama dengan yang akan dipakai web.</t>
  </si>
  <si>
    <t xml:space="preserve">Contoh Uji</t>
  </si>
  <si>
    <t xml:space="preserve">5 kasus dengan hasil yang diharapkan. Kolom Cocok harus bertuliskan OK semua. Jika CEK, ada harga atau rumus yang berubah.</t>
  </si>
  <si>
    <t xml:space="preserve">Rekap</t>
  </si>
  <si>
    <t xml:space="preserve">Ringkasan otomatis dari tab Pesanan (pesanan berstatus Contoh tidak dihitung).</t>
  </si>
  <si>
    <t xml:space="preserve">Impor ke Google Sheets</t>
  </si>
  <si>
    <t xml:space="preserve">Unggah file ini ke Google Drive, buka dengan Google Sheets, lalu pilih File &gt; Simpan sebagai Google Spreadsheet. Setelah itu cek kolom Cocok di Contoh Uji.</t>
  </si>
  <si>
    <t xml:space="preserve">Privasi</t>
  </si>
  <si>
    <t xml:space="preserve">Jangan simpan nomor HP, KTP, atau data identitas di Sheets ini. Kolom bebas bisa berisi data yang diketik klien, jadi periksa berkala.</t>
  </si>
  <si>
    <t xml:space="preserve">Asumsi</t>
  </si>
  <si>
    <t xml:space="preserve">Semua harga adalah USULAN awal (bukan harga pasti). Faktor tenggat, pengali kisaran, dan lampiran gratis juga usulan. Evaluasi setelah 10 pesanan pertama.</t>
  </si>
  <si>
    <t xml:space="preserve">Kode pesanan</t>
  </si>
  <si>
    <t xml:space="preserve">Waktu masuk</t>
  </si>
  <si>
    <t xml:space="preserve">Jenjang</t>
  </si>
  <si>
    <t xml:space="preserve">Prodi / Kelas</t>
  </si>
  <si>
    <t xml:space="preserve">Mata kuliah / pelajaran</t>
  </si>
  <si>
    <t xml:space="preserve">Jenis tugas</t>
  </si>
  <si>
    <t xml:space="preserve">Tugas lainnya (teks)</t>
  </si>
  <si>
    <t xml:space="preserve">Jumlah file lampiran</t>
  </si>
  <si>
    <t xml:space="preserve">Total hlm lampiran</t>
  </si>
  <si>
    <t xml:space="preserve">Target output</t>
  </si>
  <si>
    <t xml:space="preserve">Format output</t>
  </si>
  <si>
    <t xml:space="preserve">Tenggat</t>
  </si>
  <si>
    <t xml:space="preserve">Opsi tambahan</t>
  </si>
  <si>
    <t xml:space="preserve">Kebutuhan detail</t>
  </si>
  <si>
    <t xml:space="preserve">Ketentuan tugas</t>
  </si>
  <si>
    <t xml:space="preserve">Estimasi bawah (Rp)</t>
  </si>
  <si>
    <t xml:space="preserve">Estimasi atas (Rp)</t>
  </si>
  <si>
    <t xml:space="preserve">Status</t>
  </si>
  <si>
    <t xml:space="preserve">Harga final (Rp)</t>
  </si>
  <si>
    <t xml:space="preserve">DP diterima (Rp)</t>
  </si>
  <si>
    <t xml:space="preserve">Status bayar</t>
  </si>
  <si>
    <t xml:space="preserve">Penanggung jawab</t>
  </si>
  <si>
    <t xml:space="preserve">Pemeriksa hasil</t>
  </si>
  <si>
    <t xml:space="preserve">Biaya (Rp)</t>
  </si>
  <si>
    <t xml:space="preserve">Waktu kerja (menit)</t>
  </si>
  <si>
    <t xml:space="preserve">Laba (Rp)</t>
  </si>
  <si>
    <t xml:space="preserve">Catatan</t>
  </si>
  <si>
    <t xml:space="preserve">JD-0000</t>
  </si>
  <si>
    <t xml:space="preserve">2026-10-24 18:00</t>
  </si>
  <si>
    <t xml:space="preserve">Mahasiswa</t>
  </si>
  <si>
    <t xml:space="preserve">Ekonomi Pertanian</t>
  </si>
  <si>
    <t xml:space="preserve">Pengantar Agribisnis</t>
  </si>
  <si>
    <t xml:space="preserve">Draf makalah</t>
  </si>
  <si>
    <t xml:space="preserve">PDF</t>
  </si>
  <si>
    <t xml:space="preserve">2026-10-28</t>
  </si>
  <si>
    <t xml:space="preserve">Sitasi diperiksa</t>
  </si>
  <si>
    <t xml:space="preserve">Makalah tentang rantai pasok cabai (CONTOH)</t>
  </si>
  <si>
    <t xml:space="preserve">Format APA 7, font 12</t>
  </si>
  <si>
    <t xml:space="preserve">Contoh</t>
  </si>
  <si>
    <t xml:space="preserve">DP</t>
  </si>
  <si>
    <t xml:space="preserve">Nama admin 1</t>
  </si>
  <si>
    <t xml:space="preserve">Nama admin 2</t>
  </si>
  <si>
    <t xml:space="preserve">CONTOH, hapus baris ini sebelum dipakai</t>
  </si>
  <si>
    <t xml:space="preserve">Kunci (otomatis)</t>
  </si>
  <si>
    <t xml:space="preserve">Harga dasar (Rp)</t>
  </si>
  <si>
    <t xml:space="preserve">Unit sudah termasuk</t>
  </si>
  <si>
    <t xml:space="preserve">Satuan</t>
  </si>
  <si>
    <t xml:space="preserve">Tarif tambahan per unit (Rp)</t>
  </si>
  <si>
    <t xml:space="preserve">Format standar</t>
  </si>
  <si>
    <t xml:space="preserve">Aktif</t>
  </si>
  <si>
    <t xml:space="preserve">Kerangka/outline (makalah, esai, proposal)</t>
  </si>
  <si>
    <t xml:space="preserve">kerangka</t>
  </si>
  <si>
    <t xml:space="preserve">Word</t>
  </si>
  <si>
    <t xml:space="preserve">Ya</t>
  </si>
  <si>
    <t xml:space="preserve">Ringkasan materi/jurnal</t>
  </si>
  <si>
    <t xml:space="preserve">hlm</t>
  </si>
  <si>
    <t xml:space="preserve">Resume/review jurnal atau buku</t>
  </si>
  <si>
    <t xml:space="preserve">Draf esai/opini</t>
  </si>
  <si>
    <t xml:space="preserve">Analisis/studi kasus</t>
  </si>
  <si>
    <t xml:space="preserve">Laporan praktikum/kegiatan</t>
  </si>
  <si>
    <t xml:space="preserve">Proposal (kegiatan, lomba, penelitian)</t>
  </si>
  <si>
    <t xml:space="preserve">PPT presentasi</t>
  </si>
  <si>
    <t xml:space="preserve">slide</t>
  </si>
  <si>
    <t xml:space="preserve">PPT</t>
  </si>
  <si>
    <t xml:space="preserve">Olah data + interpretasi</t>
  </si>
  <si>
    <t xml:space="preserve">Excel</t>
  </si>
  <si>
    <t xml:space="preserve">Soal latihan + pembahasan dari materi</t>
  </si>
  <si>
    <t xml:space="preserve">soal</t>
  </si>
  <si>
    <t xml:space="preserve">Perbaikan bahasa dan format (APA, daftar pustaka)</t>
  </si>
  <si>
    <t xml:space="preserve">CV, surat lamaran, motivation letter</t>
  </si>
  <si>
    <t xml:space="preserve">dokumen</t>
  </si>
  <si>
    <t xml:space="preserve">Coding tugas kecil</t>
  </si>
  <si>
    <t xml:space="preserve">modul</t>
  </si>
  <si>
    <t xml:space="preserve">Teks</t>
  </si>
  <si>
    <t xml:space="preserve">Tugas lainnya</t>
  </si>
  <si>
    <t xml:space="preserve">unit</t>
  </si>
  <si>
    <t xml:space="preserve">Pelajar</t>
  </si>
  <si>
    <t xml:space="preserve">Kerangka karangan/esai</t>
  </si>
  <si>
    <t xml:space="preserve">Ringkasan materi pelajaran</t>
  </si>
  <si>
    <t xml:space="preserve">Resume buku/film/artikel</t>
  </si>
  <si>
    <t xml:space="preserve">Draf karangan/esai</t>
  </si>
  <si>
    <t xml:space="preserve">Draf makalah/laporan observasi</t>
  </si>
  <si>
    <t xml:space="preserve">Proposal/laporan kegiatan OSIS/ekskul</t>
  </si>
  <si>
    <t xml:space="preserve">Soal latihan + pembahasan</t>
  </si>
  <si>
    <t xml:space="preserve">Perbaikan tata bahasa</t>
  </si>
  <si>
    <t xml:space="preserve">Surat, CV, motivasi beasiswa</t>
  </si>
  <si>
    <t xml:space="preserve">Catatan: harga adalah usulan awal. Tarif tambahan 0 = tidak ada tambahan per unit. Format standar dipakai untuk menentukan apakah klien kena biaya format di luar standar.</t>
  </si>
  <si>
    <t xml:space="preserve">Pengaturan Harga dan Kebijakan</t>
  </si>
  <si>
    <t xml:space="preserve">Lampiran</t>
  </si>
  <si>
    <t xml:space="preserve">Lampiran gratis (halaman)</t>
  </si>
  <si>
    <t xml:space="preserve">20 halaman pertama tidak dikenai biaya</t>
  </si>
  <si>
    <t xml:space="preserve">Ukuran blok lampiran berbayar (halaman)</t>
  </si>
  <si>
    <t xml:space="preserve">Dibulatkan ke atas per blok</t>
  </si>
  <si>
    <t xml:space="preserve">Tarif per blok (Rp)</t>
  </si>
  <si>
    <t xml:space="preserve">Batas lampiran (halaman)</t>
  </si>
  <si>
    <t xml:space="preserve">Di atas ini web menampilkan 'hubungi kami'</t>
  </si>
  <si>
    <t xml:space="preserve">Tambahan opsional</t>
  </si>
  <si>
    <t xml:space="preserve">Format file di luar standar tugas (Rp)</t>
  </si>
  <si>
    <t xml:space="preserve">Gratis jika format sama dengan format standar tugas atau 'Teks'</t>
  </si>
  <si>
    <t xml:space="preserve">Sitasi diperiksa manual, maks 10 referensi (Rp)</t>
  </si>
  <si>
    <t xml:space="preserve">Penjelasan hasil + poin kunci (Rp)</t>
  </si>
  <si>
    <t xml:space="preserve">Kisaran estimasi</t>
  </si>
  <si>
    <t xml:space="preserve">Pengali batas atas (tugas biasa)</t>
  </si>
  <si>
    <t xml:space="preserve">Estimasi atas = estimasi bawah x angka ini</t>
  </si>
  <si>
    <t xml:space="preserve">Pengali batas bawah (Tugas lainnya)</t>
  </si>
  <si>
    <t xml:space="preserve">Pengali batas atas (Tugas lainnya)</t>
  </si>
  <si>
    <t xml:space="preserve">Pembulatan ke atas (Rp)</t>
  </si>
  <si>
    <t xml:space="preserve">Faktor tenggat</t>
  </si>
  <si>
    <t xml:space="preserve">Sisa hari (minimal)</t>
  </si>
  <si>
    <t xml:space="preserve">Pengali</t>
  </si>
  <si>
    <t xml:space="preserve">Keterangan</t>
  </si>
  <si>
    <t xml:space="preserve">Hari ini: perlu konfirmasi admin dulu</t>
  </si>
  <si>
    <t xml:space="preserve">1-2 hari</t>
  </si>
  <si>
    <t xml:space="preserve">3-4 hari</t>
  </si>
  <si>
    <t xml:space="preserve">5 hari atau lebih</t>
  </si>
  <si>
    <t xml:space="preserve">Urutan kolom Sisa hari harus naik (0, 1, 3, 5) agar rumus pencarian benar.</t>
  </si>
  <si>
    <t xml:space="preserve">Kebijakan layanan (usulan, belum diputuskan)</t>
  </si>
  <si>
    <t xml:space="preserve">DP (persen dari harga final)</t>
  </si>
  <si>
    <t xml:space="preserve">Revisi gratis (kali)</t>
  </si>
  <si>
    <t xml:space="preserve">Revisi tambahan (Rp per revisi)</t>
  </si>
  <si>
    <t xml:space="preserve">Usulan Rp5.000-10.000</t>
  </si>
  <si>
    <t xml:space="preserve">Definisi halaman</t>
  </si>
  <si>
    <t xml:space="preserve">1 hlm A4, font 12, spasi 1,5 (± 300-350 kata)</t>
  </si>
  <si>
    <t xml:space="preserve">Kalkulator Estimasi (alat uji)</t>
  </si>
  <si>
    <t xml:space="preserve">Isi sel kuning. Hasil ada di bagian bawah.</t>
  </si>
  <si>
    <t xml:space="preserve">Pilih tugas (Jenjang - Tugas)</t>
  </si>
  <si>
    <t xml:space="preserve">Mahasiswa - Draf makalah</t>
  </si>
  <si>
    <t xml:space="preserve">Target output (jumlah satuan tugas)</t>
  </si>
  <si>
    <t xml:space="preserve">Total halaman lampiran</t>
  </si>
  <si>
    <t xml:space="preserve">Sisa hari ke tenggat</t>
  </si>
  <si>
    <t xml:space="preserve">Format yang diminta</t>
  </si>
  <si>
    <t xml:space="preserve">Sitasi diperiksa manual?</t>
  </si>
  <si>
    <t xml:space="preserve">Penjelasan hasil?</t>
  </si>
  <si>
    <t xml:space="preserve">Tidak</t>
  </si>
  <si>
    <t xml:space="preserve">Perhitungan</t>
  </si>
  <si>
    <t xml:space="preserve">Harga dasar</t>
  </si>
  <si>
    <t xml:space="preserve">Tarif tambahan per unit</t>
  </si>
  <si>
    <t xml:space="preserve">Tambahan unit</t>
  </si>
  <si>
    <t xml:space="preserve">Tambahan lampiran</t>
  </si>
  <si>
    <t xml:space="preserve">Subtotal</t>
  </si>
  <si>
    <t xml:space="preserve">Subtotal x faktor tenggat</t>
  </si>
  <si>
    <t xml:space="preserve">Tambahan format</t>
  </si>
  <si>
    <t xml:space="preserve">Tambahan sitasi</t>
  </si>
  <si>
    <t xml:space="preserve">Tambahan penjelasan hasil</t>
  </si>
  <si>
    <t xml:space="preserve">Total sebelum pembulatan</t>
  </si>
  <si>
    <t xml:space="preserve">Tugas lainnya?</t>
  </si>
  <si>
    <t xml:space="preserve">ESTIMASI BAWAH</t>
  </si>
  <si>
    <t xml:space="preserve">ESTIMASI ATAS</t>
  </si>
  <si>
    <t xml:space="preserve">Peringatan</t>
  </si>
  <si>
    <t xml:space="preserve">Teks untuk klien</t>
  </si>
  <si>
    <t xml:space="preserve">Ini estimasi awal. Harga final dikonfirmasi setelah kebutuhanmu kami baca, dan masih bisa didiskusikan.</t>
  </si>
  <si>
    <t xml:space="preserve">Contoh Uji (dihitung manual lebih dulu, lalu dicocokkan dengan rumus)</t>
  </si>
  <si>
    <t xml:space="preserve">No</t>
  </si>
  <si>
    <t xml:space="preserve">Tugas (Jenjang - Tugas)</t>
  </si>
  <si>
    <t xml:space="preserve">Sisa hari</t>
  </si>
  <si>
    <t xml:space="preserve">Format</t>
  </si>
  <si>
    <t xml:space="preserve">Sitasi</t>
  </si>
  <si>
    <t xml:space="preserve">Penjelasan</t>
  </si>
  <si>
    <t xml:space="preserve">Diharapkan bawah (Rp)</t>
  </si>
  <si>
    <t xml:space="preserve">Diharapkan atas (Rp)</t>
  </si>
  <si>
    <t xml:space="preserve">Total (rumus)</t>
  </si>
  <si>
    <t xml:space="preserve">Bawah (rumus)</t>
  </si>
  <si>
    <t xml:space="preserve">Atas (rumus)</t>
  </si>
  <si>
    <t xml:space="preserve">Cocok</t>
  </si>
  <si>
    <t xml:space="preserve">Pelajar - PPT presentasi</t>
  </si>
  <si>
    <t xml:space="preserve">Mahasiswa - Olah data + interpretasi</t>
  </si>
  <si>
    <t xml:space="preserve">Mahasiswa - Tugas lainnya</t>
  </si>
  <si>
    <t xml:space="preserve">Pelajar - Draf makalah/laporan observasi</t>
  </si>
  <si>
    <t xml:space="preserve">Catatan: kasus 1 memakai PDF karena format standar makalah adalah Word, sehingga kena biaya format Rp5.000. Kasus 3 (Excel untuk olah data) dan kasus 2 (PPT untuk PPT) gratis format.</t>
  </si>
  <si>
    <t xml:space="preserve">Rekap Pesanan (otomatis)</t>
  </si>
  <si>
    <t xml:space="preserve">Jumlah pesanan (tanpa Contoh)</t>
  </si>
  <si>
    <t xml:space="preserve">Pesanan Draf</t>
  </si>
  <si>
    <t xml:space="preserve">Pesanan Dikonfirmasi/Dikerjakan/Revisi</t>
  </si>
  <si>
    <t xml:space="preserve">Pesanan Selesai</t>
  </si>
  <si>
    <t xml:space="preserve">Pesanan Ditolak/Dibatalkan</t>
  </si>
  <si>
    <t xml:space="preserve">Pemasukan (harga final, status Selesai)</t>
  </si>
  <si>
    <t xml:space="preserve">Biaya (status Selesai)</t>
  </si>
  <si>
    <t xml:space="preserve">Laba (status Selesai)</t>
  </si>
  <si>
    <t xml:space="preserve">Rata-rata harga final (status Selesai)</t>
  </si>
  <si>
    <t xml:space="preserve">Total waktu kerja (menit, status Selesai)</t>
  </si>
  <si>
    <t xml:space="preserve">Laba per jam kerja (Rp)</t>
  </si>
  <si>
    <t xml:space="preserve">Catatan: biaya adalah biaya yang kalian catat sendiri (misalnya porsi langganan atau biaya admin pembayaran). Claude Pro tidak menagih biaya token per pesanan.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</si>
</sst>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p&quot;#,##0"/>
    <numFmt numFmtId="166" formatCode="0.00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23.8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23.8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  <row r="13" customFormat="false" ht="23.85" hidden="false" customHeight="false" outlineLevel="0" collapsed="false">
      <c r="A13" s="2" t="s">
        <v>21</v>
      </c>
      <c r="B13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22"/>
    <col collapsed="false" customWidth="true" hidden="false" outlineLevel="0" max="9" min="8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8"/>
    <col collapsed="false" customWidth="true" hidden="false" outlineLevel="0" max="14" min="14" style="0" width="36"/>
    <col collapsed="false" customWidth="true" hidden="false" outlineLevel="0" max="15" min="15" style="0" width="30"/>
    <col collapsed="false" customWidth="true" hidden="false" outlineLevel="0" max="20" min="16" style="0" width="14"/>
    <col collapsed="false" customWidth="true" hidden="false" outlineLevel="0" max="21" min="21" style="0" width="13"/>
    <col collapsed="false" customWidth="true" hidden="false" outlineLevel="0" max="23" min="22" style="0" width="16"/>
    <col collapsed="false" customWidth="true" hidden="false" outlineLevel="0" max="25" min="24" style="0" width="12"/>
    <col collapsed="false" customWidth="true" hidden="false" outlineLevel="0" max="26" min="26" style="0" width="14"/>
    <col collapsed="false" customWidth="true" hidden="false" outlineLevel="0" max="27" min="27" style="0" width="36"/>
  </cols>
  <sheetData>
    <row r="1" customFormat="false" ht="36" hidden="false" customHeight="tru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  <c r="O1" s="4" t="s">
        <v>37</v>
      </c>
      <c r="P1" s="4" t="s">
        <v>38</v>
      </c>
      <c r="Q1" s="4" t="s">
        <v>39</v>
      </c>
      <c r="R1" s="4" t="s">
        <v>40</v>
      </c>
      <c r="S1" s="4" t="s">
        <v>41</v>
      </c>
      <c r="T1" s="4" t="s">
        <v>42</v>
      </c>
      <c r="U1" s="4" t="s">
        <v>43</v>
      </c>
      <c r="V1" s="4" t="s">
        <v>44</v>
      </c>
      <c r="W1" s="4" t="s">
        <v>45</v>
      </c>
      <c r="X1" s="4" t="s">
        <v>46</v>
      </c>
      <c r="Y1" s="4" t="s">
        <v>47</v>
      </c>
      <c r="Z1" s="4" t="s">
        <v>48</v>
      </c>
      <c r="AA1" s="4" t="s">
        <v>49</v>
      </c>
    </row>
    <row r="2" customFormat="false" ht="15" hidden="false" customHeight="false" outlineLevel="0" collapsed="false">
      <c r="A2" s="5" t="s">
        <v>50</v>
      </c>
      <c r="B2" s="5" t="s">
        <v>51</v>
      </c>
      <c r="C2" s="5" t="s">
        <v>52</v>
      </c>
      <c r="D2" s="5" t="s">
        <v>53</v>
      </c>
      <c r="E2" s="5" t="s">
        <v>54</v>
      </c>
      <c r="F2" s="5" t="s">
        <v>55</v>
      </c>
      <c r="G2" s="5"/>
      <c r="H2" s="5" t="n">
        <v>2</v>
      </c>
      <c r="I2" s="5" t="n">
        <v>30</v>
      </c>
      <c r="J2" s="5" t="n">
        <v>8</v>
      </c>
      <c r="K2" s="5" t="s">
        <v>56</v>
      </c>
      <c r="L2" s="5" t="s">
        <v>57</v>
      </c>
      <c r="M2" s="5" t="s">
        <v>58</v>
      </c>
      <c r="N2" s="5" t="s">
        <v>59</v>
      </c>
      <c r="O2" s="5" t="s">
        <v>60</v>
      </c>
      <c r="P2" s="6" t="n">
        <v>88000</v>
      </c>
      <c r="Q2" s="6" t="n">
        <v>106000</v>
      </c>
      <c r="R2" s="5" t="s">
        <v>61</v>
      </c>
      <c r="S2" s="6" t="n">
        <v>95000</v>
      </c>
      <c r="T2" s="6" t="n">
        <v>47500</v>
      </c>
      <c r="U2" s="5" t="s">
        <v>62</v>
      </c>
      <c r="V2" s="5" t="s">
        <v>63</v>
      </c>
      <c r="W2" s="5" t="s">
        <v>64</v>
      </c>
      <c r="X2" s="6" t="n">
        <v>5000</v>
      </c>
      <c r="Y2" s="5" t="n">
        <v>90</v>
      </c>
      <c r="Z2" s="6" t="n">
        <f aca="false">IF(S2="","",S2-N(X2))</f>
        <v>90000</v>
      </c>
      <c r="AA2" s="5" t="s">
        <v>65</v>
      </c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8"/>
      <c r="R3" s="7"/>
      <c r="S3" s="8"/>
      <c r="T3" s="8"/>
      <c r="U3" s="7"/>
      <c r="V3" s="7"/>
      <c r="W3" s="7"/>
      <c r="X3" s="8"/>
      <c r="Y3" s="7"/>
      <c r="Z3" s="8" t="str">
        <f aca="false">IF(S3="","",S3-N(X3))</f>
        <v/>
      </c>
      <c r="AA3" s="7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  <c r="Q4" s="8"/>
      <c r="R4" s="7"/>
      <c r="S4" s="8"/>
      <c r="T4" s="8"/>
      <c r="U4" s="7"/>
      <c r="V4" s="7"/>
      <c r="W4" s="7"/>
      <c r="X4" s="8"/>
      <c r="Y4" s="7"/>
      <c r="Z4" s="8" t="str">
        <f aca="false">IF(S4="","",S4-N(X4))</f>
        <v/>
      </c>
      <c r="AA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7"/>
      <c r="S5" s="8"/>
      <c r="T5" s="8"/>
      <c r="U5" s="7"/>
      <c r="V5" s="7"/>
      <c r="W5" s="7"/>
      <c r="X5" s="8"/>
      <c r="Y5" s="7"/>
      <c r="Z5" s="8" t="str">
        <f aca="false">IF(S5="","",S5-N(X5))</f>
        <v/>
      </c>
      <c r="AA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  <c r="Q6" s="8"/>
      <c r="R6" s="7"/>
      <c r="S6" s="8"/>
      <c r="T6" s="8"/>
      <c r="U6" s="7"/>
      <c r="V6" s="7"/>
      <c r="W6" s="7"/>
      <c r="X6" s="8"/>
      <c r="Y6" s="7"/>
      <c r="Z6" s="8" t="str">
        <f aca="false">IF(S6="","",S6-N(X6))</f>
        <v/>
      </c>
      <c r="AA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8"/>
      <c r="Q7" s="8"/>
      <c r="R7" s="7"/>
      <c r="S7" s="8"/>
      <c r="T7" s="8"/>
      <c r="U7" s="7"/>
      <c r="V7" s="7"/>
      <c r="W7" s="7"/>
      <c r="X7" s="8"/>
      <c r="Y7" s="7"/>
      <c r="Z7" s="8" t="str">
        <f aca="false">IF(S7="","",S7-N(X7))</f>
        <v/>
      </c>
      <c r="AA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8"/>
      <c r="Q8" s="8"/>
      <c r="R8" s="7"/>
      <c r="S8" s="8"/>
      <c r="T8" s="8"/>
      <c r="U8" s="7"/>
      <c r="V8" s="7"/>
      <c r="W8" s="7"/>
      <c r="X8" s="8"/>
      <c r="Y8" s="7"/>
      <c r="Z8" s="8" t="str">
        <f aca="false">IF(S8="","",S8-N(X8))</f>
        <v/>
      </c>
      <c r="AA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8"/>
      <c r="Q9" s="8"/>
      <c r="R9" s="7"/>
      <c r="S9" s="8"/>
      <c r="T9" s="8"/>
      <c r="U9" s="7"/>
      <c r="V9" s="7"/>
      <c r="W9" s="7"/>
      <c r="X9" s="8"/>
      <c r="Y9" s="7"/>
      <c r="Z9" s="8" t="str">
        <f aca="false">IF(S9="","",S9-N(X9))</f>
        <v/>
      </c>
      <c r="AA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8"/>
      <c r="Q10" s="8"/>
      <c r="R10" s="7"/>
      <c r="S10" s="8"/>
      <c r="T10" s="8"/>
      <c r="U10" s="7"/>
      <c r="V10" s="7"/>
      <c r="W10" s="7"/>
      <c r="X10" s="8"/>
      <c r="Y10" s="7"/>
      <c r="Z10" s="8" t="str">
        <f aca="false">IF(S10="","",S10-N(X10))</f>
        <v/>
      </c>
      <c r="AA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8"/>
      <c r="Q11" s="8"/>
      <c r="R11" s="7"/>
      <c r="S11" s="8"/>
      <c r="T11" s="8"/>
      <c r="U11" s="7"/>
      <c r="V11" s="7"/>
      <c r="W11" s="7"/>
      <c r="X11" s="8"/>
      <c r="Y11" s="7"/>
      <c r="Z11" s="8" t="str">
        <f aca="false">IF(S11="","",S11-N(X11))</f>
        <v/>
      </c>
      <c r="AA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8"/>
      <c r="Q12" s="8"/>
      <c r="R12" s="7"/>
      <c r="S12" s="8"/>
      <c r="T12" s="8"/>
      <c r="U12" s="7"/>
      <c r="V12" s="7"/>
      <c r="W12" s="7"/>
      <c r="X12" s="8"/>
      <c r="Y12" s="7"/>
      <c r="Z12" s="8" t="str">
        <f aca="false">IF(S12="","",S12-N(X12))</f>
        <v/>
      </c>
      <c r="AA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8"/>
      <c r="Q13" s="8"/>
      <c r="R13" s="7"/>
      <c r="S13" s="8"/>
      <c r="T13" s="8"/>
      <c r="U13" s="7"/>
      <c r="V13" s="7"/>
      <c r="W13" s="7"/>
      <c r="X13" s="8"/>
      <c r="Y13" s="7"/>
      <c r="Z13" s="8" t="str">
        <f aca="false">IF(S13="","",S13-N(X13))</f>
        <v/>
      </c>
      <c r="AA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8"/>
      <c r="Q14" s="8"/>
      <c r="R14" s="7"/>
      <c r="S14" s="8"/>
      <c r="T14" s="8"/>
      <c r="U14" s="7"/>
      <c r="V14" s="7"/>
      <c r="W14" s="7"/>
      <c r="X14" s="8"/>
      <c r="Y14" s="7"/>
      <c r="Z14" s="8" t="str">
        <f aca="false">IF(S14="","",S14-N(X14))</f>
        <v/>
      </c>
      <c r="AA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8"/>
      <c r="Q15" s="8"/>
      <c r="R15" s="7"/>
      <c r="S15" s="8"/>
      <c r="T15" s="8"/>
      <c r="U15" s="7"/>
      <c r="V15" s="7"/>
      <c r="W15" s="7"/>
      <c r="X15" s="8"/>
      <c r="Y15" s="7"/>
      <c r="Z15" s="8" t="str">
        <f aca="false">IF(S15="","",S15-N(X15))</f>
        <v/>
      </c>
      <c r="AA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8"/>
      <c r="Q16" s="8"/>
      <c r="R16" s="7"/>
      <c r="S16" s="8"/>
      <c r="T16" s="8"/>
      <c r="U16" s="7"/>
      <c r="V16" s="7"/>
      <c r="W16" s="7"/>
      <c r="X16" s="8"/>
      <c r="Y16" s="7"/>
      <c r="Z16" s="8" t="str">
        <f aca="false">IF(S16="","",S16-N(X16))</f>
        <v/>
      </c>
      <c r="AA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8"/>
      <c r="Q17" s="8"/>
      <c r="R17" s="7"/>
      <c r="S17" s="8"/>
      <c r="T17" s="8"/>
      <c r="U17" s="7"/>
      <c r="V17" s="7"/>
      <c r="W17" s="7"/>
      <c r="X17" s="8"/>
      <c r="Y17" s="7"/>
      <c r="Z17" s="8" t="str">
        <f aca="false">IF(S17="","",S17-N(X17))</f>
        <v/>
      </c>
      <c r="AA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8"/>
      <c r="Q18" s="8"/>
      <c r="R18" s="7"/>
      <c r="S18" s="8"/>
      <c r="T18" s="8"/>
      <c r="U18" s="7"/>
      <c r="V18" s="7"/>
      <c r="W18" s="7"/>
      <c r="X18" s="8"/>
      <c r="Y18" s="7"/>
      <c r="Z18" s="8" t="str">
        <f aca="false">IF(S18="","",S18-N(X18))</f>
        <v/>
      </c>
      <c r="AA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8"/>
      <c r="Q19" s="8"/>
      <c r="R19" s="7"/>
      <c r="S19" s="8"/>
      <c r="T19" s="8"/>
      <c r="U19" s="7"/>
      <c r="V19" s="7"/>
      <c r="W19" s="7"/>
      <c r="X19" s="8"/>
      <c r="Y19" s="7"/>
      <c r="Z19" s="8" t="str">
        <f aca="false">IF(S19="","",S19-N(X19))</f>
        <v/>
      </c>
      <c r="AA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8"/>
      <c r="Q20" s="8"/>
      <c r="R20" s="7"/>
      <c r="S20" s="8"/>
      <c r="T20" s="8"/>
      <c r="U20" s="7"/>
      <c r="V20" s="7"/>
      <c r="W20" s="7"/>
      <c r="X20" s="8"/>
      <c r="Y20" s="7"/>
      <c r="Z20" s="8" t="str">
        <f aca="false">IF(S20="","",S20-N(X20))</f>
        <v/>
      </c>
      <c r="AA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8"/>
      <c r="Q21" s="8"/>
      <c r="R21" s="7"/>
      <c r="S21" s="8"/>
      <c r="T21" s="8"/>
      <c r="U21" s="7"/>
      <c r="V21" s="7"/>
      <c r="W21" s="7"/>
      <c r="X21" s="8"/>
      <c r="Y21" s="7"/>
      <c r="Z21" s="8" t="str">
        <f aca="false">IF(S21="","",S21-N(X21))</f>
        <v/>
      </c>
      <c r="AA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8"/>
      <c r="Q22" s="8"/>
      <c r="R22" s="7"/>
      <c r="S22" s="8"/>
      <c r="T22" s="8"/>
      <c r="U22" s="7"/>
      <c r="V22" s="7"/>
      <c r="W22" s="7"/>
      <c r="X22" s="8"/>
      <c r="Y22" s="7"/>
      <c r="Z22" s="8" t="str">
        <f aca="false">IF(S22="","",S22-N(X22))</f>
        <v/>
      </c>
      <c r="AA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8"/>
      <c r="Q23" s="8"/>
      <c r="R23" s="7"/>
      <c r="S23" s="8"/>
      <c r="T23" s="8"/>
      <c r="U23" s="7"/>
      <c r="V23" s="7"/>
      <c r="W23" s="7"/>
      <c r="X23" s="8"/>
      <c r="Y23" s="7"/>
      <c r="Z23" s="8" t="str">
        <f aca="false">IF(S23="","",S23-N(X23))</f>
        <v/>
      </c>
      <c r="AA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8"/>
      <c r="Q24" s="8"/>
      <c r="R24" s="7"/>
      <c r="S24" s="8"/>
      <c r="T24" s="8"/>
      <c r="U24" s="7"/>
      <c r="V24" s="7"/>
      <c r="W24" s="7"/>
      <c r="X24" s="8"/>
      <c r="Y24" s="7"/>
      <c r="Z24" s="8" t="str">
        <f aca="false">IF(S24="","",S24-N(X24))</f>
        <v/>
      </c>
      <c r="AA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8"/>
      <c r="Q25" s="8"/>
      <c r="R25" s="7"/>
      <c r="S25" s="8"/>
      <c r="T25" s="8"/>
      <c r="U25" s="7"/>
      <c r="V25" s="7"/>
      <c r="W25" s="7"/>
      <c r="X25" s="8"/>
      <c r="Y25" s="7"/>
      <c r="Z25" s="8" t="str">
        <f aca="false">IF(S25="","",S25-N(X25))</f>
        <v/>
      </c>
      <c r="AA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8"/>
      <c r="Q26" s="8"/>
      <c r="R26" s="7"/>
      <c r="S26" s="8"/>
      <c r="T26" s="8"/>
      <c r="U26" s="7"/>
      <c r="V26" s="7"/>
      <c r="W26" s="7"/>
      <c r="X26" s="8"/>
      <c r="Y26" s="7"/>
      <c r="Z26" s="8" t="str">
        <f aca="false">IF(S26="","",S26-N(X26))</f>
        <v/>
      </c>
      <c r="AA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8"/>
      <c r="Q27" s="8"/>
      <c r="R27" s="7"/>
      <c r="S27" s="8"/>
      <c r="T27" s="8"/>
      <c r="U27" s="7"/>
      <c r="V27" s="7"/>
      <c r="W27" s="7"/>
      <c r="X27" s="8"/>
      <c r="Y27" s="7"/>
      <c r="Z27" s="8" t="str">
        <f aca="false">IF(S27="","",S27-N(X27))</f>
        <v/>
      </c>
      <c r="AA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8"/>
      <c r="Q28" s="8"/>
      <c r="R28" s="7"/>
      <c r="S28" s="8"/>
      <c r="T28" s="8"/>
      <c r="U28" s="7"/>
      <c r="V28" s="7"/>
      <c r="W28" s="7"/>
      <c r="X28" s="8"/>
      <c r="Y28" s="7"/>
      <c r="Z28" s="8" t="str">
        <f aca="false">IF(S28="","",S28-N(X28))</f>
        <v/>
      </c>
      <c r="AA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8"/>
      <c r="Q29" s="8"/>
      <c r="R29" s="7"/>
      <c r="S29" s="8"/>
      <c r="T29" s="8"/>
      <c r="U29" s="7"/>
      <c r="V29" s="7"/>
      <c r="W29" s="7"/>
      <c r="X29" s="8"/>
      <c r="Y29" s="7"/>
      <c r="Z29" s="8" t="str">
        <f aca="false">IF(S29="","",S29-N(X29))</f>
        <v/>
      </c>
      <c r="AA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8"/>
      <c r="Q30" s="8"/>
      <c r="R30" s="7"/>
      <c r="S30" s="8"/>
      <c r="T30" s="8"/>
      <c r="U30" s="7"/>
      <c r="V30" s="7"/>
      <c r="W30" s="7"/>
      <c r="X30" s="8"/>
      <c r="Y30" s="7"/>
      <c r="Z30" s="8" t="str">
        <f aca="false">IF(S30="","",S30-N(X30))</f>
        <v/>
      </c>
      <c r="AA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8"/>
      <c r="Q31" s="8"/>
      <c r="R31" s="7"/>
      <c r="S31" s="8"/>
      <c r="T31" s="8"/>
      <c r="U31" s="7"/>
      <c r="V31" s="7"/>
      <c r="W31" s="7"/>
      <c r="X31" s="8"/>
      <c r="Y31" s="7"/>
      <c r="Z31" s="8" t="str">
        <f aca="false">IF(S31="","",S31-N(X31))</f>
        <v/>
      </c>
      <c r="AA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8"/>
      <c r="Q32" s="8"/>
      <c r="R32" s="7"/>
      <c r="S32" s="8"/>
      <c r="T32" s="8"/>
      <c r="U32" s="7"/>
      <c r="V32" s="7"/>
      <c r="W32" s="7"/>
      <c r="X32" s="8"/>
      <c r="Y32" s="7"/>
      <c r="Z32" s="8" t="str">
        <f aca="false">IF(S32="","",S32-N(X32))</f>
        <v/>
      </c>
      <c r="AA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8"/>
      <c r="Q33" s="8"/>
      <c r="R33" s="7"/>
      <c r="S33" s="8"/>
      <c r="T33" s="8"/>
      <c r="U33" s="7"/>
      <c r="V33" s="7"/>
      <c r="W33" s="7"/>
      <c r="X33" s="8"/>
      <c r="Y33" s="7"/>
      <c r="Z33" s="8" t="str">
        <f aca="false">IF(S33="","",S33-N(X33))</f>
        <v/>
      </c>
      <c r="AA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8"/>
      <c r="Q34" s="8"/>
      <c r="R34" s="7"/>
      <c r="S34" s="8"/>
      <c r="T34" s="8"/>
      <c r="U34" s="7"/>
      <c r="V34" s="7"/>
      <c r="W34" s="7"/>
      <c r="X34" s="8"/>
      <c r="Y34" s="7"/>
      <c r="Z34" s="8" t="str">
        <f aca="false">IF(S34="","",S34-N(X34))</f>
        <v/>
      </c>
      <c r="AA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8"/>
      <c r="Q35" s="8"/>
      <c r="R35" s="7"/>
      <c r="S35" s="8"/>
      <c r="T35" s="8"/>
      <c r="U35" s="7"/>
      <c r="V35" s="7"/>
      <c r="W35" s="7"/>
      <c r="X35" s="8"/>
      <c r="Y35" s="7"/>
      <c r="Z35" s="8" t="str">
        <f aca="false">IF(S35="","",S35-N(X35))</f>
        <v/>
      </c>
      <c r="AA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8"/>
      <c r="Q36" s="8"/>
      <c r="R36" s="7"/>
      <c r="S36" s="8"/>
      <c r="T36" s="8"/>
      <c r="U36" s="7"/>
      <c r="V36" s="7"/>
      <c r="W36" s="7"/>
      <c r="X36" s="8"/>
      <c r="Y36" s="7"/>
      <c r="Z36" s="8" t="str">
        <f aca="false">IF(S36="","",S36-N(X36))</f>
        <v/>
      </c>
      <c r="AA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8"/>
      <c r="Q37" s="8"/>
      <c r="R37" s="7"/>
      <c r="S37" s="8"/>
      <c r="T37" s="8"/>
      <c r="U37" s="7"/>
      <c r="V37" s="7"/>
      <c r="W37" s="7"/>
      <c r="X37" s="8"/>
      <c r="Y37" s="7"/>
      <c r="Z37" s="8" t="str">
        <f aca="false">IF(S37="","",S37-N(X37))</f>
        <v/>
      </c>
      <c r="AA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8"/>
      <c r="Q38" s="8"/>
      <c r="R38" s="7"/>
      <c r="S38" s="8"/>
      <c r="T38" s="8"/>
      <c r="U38" s="7"/>
      <c r="V38" s="7"/>
      <c r="W38" s="7"/>
      <c r="X38" s="8"/>
      <c r="Y38" s="7"/>
      <c r="Z38" s="8" t="str">
        <f aca="false">IF(S38="","",S38-N(X38))</f>
        <v/>
      </c>
      <c r="AA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8"/>
      <c r="Q39" s="8"/>
      <c r="R39" s="7"/>
      <c r="S39" s="8"/>
      <c r="T39" s="8"/>
      <c r="U39" s="7"/>
      <c r="V39" s="7"/>
      <c r="W39" s="7"/>
      <c r="X39" s="8"/>
      <c r="Y39" s="7"/>
      <c r="Z39" s="8" t="str">
        <f aca="false">IF(S39="","",S39-N(X39))</f>
        <v/>
      </c>
      <c r="AA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8"/>
      <c r="Q40" s="8"/>
      <c r="R40" s="7"/>
      <c r="S40" s="8"/>
      <c r="T40" s="8"/>
      <c r="U40" s="7"/>
      <c r="V40" s="7"/>
      <c r="W40" s="7"/>
      <c r="X40" s="8"/>
      <c r="Y40" s="7"/>
      <c r="Z40" s="8" t="str">
        <f aca="false">IF(S40="","",S40-N(X40))</f>
        <v/>
      </c>
      <c r="AA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8"/>
      <c r="Q41" s="8"/>
      <c r="R41" s="7"/>
      <c r="S41" s="8"/>
      <c r="T41" s="8"/>
      <c r="U41" s="7"/>
      <c r="V41" s="7"/>
      <c r="W41" s="7"/>
      <c r="X41" s="8"/>
      <c r="Y41" s="7"/>
      <c r="Z41" s="8" t="str">
        <f aca="false">IF(S41="","",S41-N(X41))</f>
        <v/>
      </c>
      <c r="AA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8"/>
      <c r="Q42" s="8"/>
      <c r="R42" s="7"/>
      <c r="S42" s="8"/>
      <c r="T42" s="8"/>
      <c r="U42" s="7"/>
      <c r="V42" s="7"/>
      <c r="W42" s="7"/>
      <c r="X42" s="8"/>
      <c r="Y42" s="7"/>
      <c r="Z42" s="8" t="str">
        <f aca="false">IF(S42="","",S42-N(X42))</f>
        <v/>
      </c>
      <c r="AA42" s="7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8"/>
      <c r="Q43" s="8"/>
      <c r="R43" s="7"/>
      <c r="S43" s="8"/>
      <c r="T43" s="8"/>
      <c r="U43" s="7"/>
      <c r="V43" s="7"/>
      <c r="W43" s="7"/>
      <c r="X43" s="8"/>
      <c r="Y43" s="7"/>
      <c r="Z43" s="8" t="str">
        <f aca="false">IF(S43="","",S43-N(X43))</f>
        <v/>
      </c>
      <c r="AA43" s="7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8"/>
      <c r="Q44" s="8"/>
      <c r="R44" s="7"/>
      <c r="S44" s="8"/>
      <c r="T44" s="8"/>
      <c r="U44" s="7"/>
      <c r="V44" s="7"/>
      <c r="W44" s="7"/>
      <c r="X44" s="8"/>
      <c r="Y44" s="7"/>
      <c r="Z44" s="8" t="str">
        <f aca="false">IF(S44="","",S44-N(X44))</f>
        <v/>
      </c>
      <c r="AA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8"/>
      <c r="Q45" s="8"/>
      <c r="R45" s="7"/>
      <c r="S45" s="8"/>
      <c r="T45" s="8"/>
      <c r="U45" s="7"/>
      <c r="V45" s="7"/>
      <c r="W45" s="7"/>
      <c r="X45" s="8"/>
      <c r="Y45" s="7"/>
      <c r="Z45" s="8" t="str">
        <f aca="false">IF(S45="","",S45-N(X45))</f>
        <v/>
      </c>
      <c r="AA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8"/>
      <c r="Q46" s="8"/>
      <c r="R46" s="7"/>
      <c r="S46" s="8"/>
      <c r="T46" s="8"/>
      <c r="U46" s="7"/>
      <c r="V46" s="7"/>
      <c r="W46" s="7"/>
      <c r="X46" s="8"/>
      <c r="Y46" s="7"/>
      <c r="Z46" s="8" t="str">
        <f aca="false">IF(S46="","",S46-N(X46))</f>
        <v/>
      </c>
      <c r="AA46" s="7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8"/>
      <c r="Q47" s="8"/>
      <c r="R47" s="7"/>
      <c r="S47" s="8"/>
      <c r="T47" s="8"/>
      <c r="U47" s="7"/>
      <c r="V47" s="7"/>
      <c r="W47" s="7"/>
      <c r="X47" s="8"/>
      <c r="Y47" s="7"/>
      <c r="Z47" s="8" t="str">
        <f aca="false">IF(S47="","",S47-N(X47))</f>
        <v/>
      </c>
      <c r="AA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8"/>
      <c r="Q48" s="8"/>
      <c r="R48" s="7"/>
      <c r="S48" s="8"/>
      <c r="T48" s="8"/>
      <c r="U48" s="7"/>
      <c r="V48" s="7"/>
      <c r="W48" s="7"/>
      <c r="X48" s="8"/>
      <c r="Y48" s="7"/>
      <c r="Z48" s="8" t="str">
        <f aca="false">IF(S48="","",S48-N(X48))</f>
        <v/>
      </c>
      <c r="AA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8"/>
      <c r="Q49" s="8"/>
      <c r="R49" s="7"/>
      <c r="S49" s="8"/>
      <c r="T49" s="8"/>
      <c r="U49" s="7"/>
      <c r="V49" s="7"/>
      <c r="W49" s="7"/>
      <c r="X49" s="8"/>
      <c r="Y49" s="7"/>
      <c r="Z49" s="8" t="str">
        <f aca="false">IF(S49="","",S49-N(X49))</f>
        <v/>
      </c>
      <c r="AA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8"/>
      <c r="Q50" s="8"/>
      <c r="R50" s="7"/>
      <c r="S50" s="8"/>
      <c r="T50" s="8"/>
      <c r="U50" s="7"/>
      <c r="V50" s="7"/>
      <c r="W50" s="7"/>
      <c r="X50" s="8"/>
      <c r="Y50" s="7"/>
      <c r="Z50" s="8" t="str">
        <f aca="false">IF(S50="","",S50-N(X50))</f>
        <v/>
      </c>
      <c r="AA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8"/>
      <c r="Q51" s="8"/>
      <c r="R51" s="7"/>
      <c r="S51" s="8"/>
      <c r="T51" s="8"/>
      <c r="U51" s="7"/>
      <c r="V51" s="7"/>
      <c r="W51" s="7"/>
      <c r="X51" s="8"/>
      <c r="Y51" s="7"/>
      <c r="Z51" s="8" t="str">
        <f aca="false">IF(S51="","",S51-N(X51))</f>
        <v/>
      </c>
      <c r="AA51" s="7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8"/>
      <c r="Q52" s="8"/>
      <c r="R52" s="7"/>
      <c r="S52" s="8"/>
      <c r="T52" s="8"/>
      <c r="U52" s="7"/>
      <c r="V52" s="7"/>
      <c r="W52" s="7"/>
      <c r="X52" s="8"/>
      <c r="Y52" s="7"/>
      <c r="Z52" s="8" t="str">
        <f aca="false">IF(S52="","",S52-N(X52))</f>
        <v/>
      </c>
      <c r="AA52" s="7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8"/>
      <c r="Q53" s="8"/>
      <c r="R53" s="7"/>
      <c r="S53" s="8"/>
      <c r="T53" s="8"/>
      <c r="U53" s="7"/>
      <c r="V53" s="7"/>
      <c r="W53" s="7"/>
      <c r="X53" s="8"/>
      <c r="Y53" s="7"/>
      <c r="Z53" s="8" t="str">
        <f aca="false">IF(S53="","",S53-N(X53))</f>
        <v/>
      </c>
      <c r="AA53" s="7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8"/>
      <c r="Q54" s="8"/>
      <c r="R54" s="7"/>
      <c r="S54" s="8"/>
      <c r="T54" s="8"/>
      <c r="U54" s="7"/>
      <c r="V54" s="7"/>
      <c r="W54" s="7"/>
      <c r="X54" s="8"/>
      <c r="Y54" s="7"/>
      <c r="Z54" s="8" t="str">
        <f aca="false">IF(S54="","",S54-N(X54))</f>
        <v/>
      </c>
      <c r="AA54" s="7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8"/>
      <c r="Q55" s="8"/>
      <c r="R55" s="7"/>
      <c r="S55" s="8"/>
      <c r="T55" s="8"/>
      <c r="U55" s="7"/>
      <c r="V55" s="7"/>
      <c r="W55" s="7"/>
      <c r="X55" s="8"/>
      <c r="Y55" s="7"/>
      <c r="Z55" s="8" t="str">
        <f aca="false">IF(S55="","",S55-N(X55))</f>
        <v/>
      </c>
      <c r="AA55" s="7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8"/>
      <c r="Q56" s="8"/>
      <c r="R56" s="7"/>
      <c r="S56" s="8"/>
      <c r="T56" s="8"/>
      <c r="U56" s="7"/>
      <c r="V56" s="7"/>
      <c r="W56" s="7"/>
      <c r="X56" s="8"/>
      <c r="Y56" s="7"/>
      <c r="Z56" s="8" t="str">
        <f aca="false">IF(S56="","",S56-N(X56))</f>
        <v/>
      </c>
      <c r="AA56" s="7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8"/>
      <c r="Q57" s="8"/>
      <c r="R57" s="7"/>
      <c r="S57" s="8"/>
      <c r="T57" s="8"/>
      <c r="U57" s="7"/>
      <c r="V57" s="7"/>
      <c r="W57" s="7"/>
      <c r="X57" s="8"/>
      <c r="Y57" s="7"/>
      <c r="Z57" s="8" t="str">
        <f aca="false">IF(S57="","",S57-N(X57))</f>
        <v/>
      </c>
      <c r="AA57" s="7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8"/>
      <c r="Q58" s="8"/>
      <c r="R58" s="7"/>
      <c r="S58" s="8"/>
      <c r="T58" s="8"/>
      <c r="U58" s="7"/>
      <c r="V58" s="7"/>
      <c r="W58" s="7"/>
      <c r="X58" s="8"/>
      <c r="Y58" s="7"/>
      <c r="Z58" s="8" t="str">
        <f aca="false">IF(S58="","",S58-N(X58))</f>
        <v/>
      </c>
      <c r="AA58" s="7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8"/>
      <c r="Q59" s="8"/>
      <c r="R59" s="7"/>
      <c r="S59" s="8"/>
      <c r="T59" s="8"/>
      <c r="U59" s="7"/>
      <c r="V59" s="7"/>
      <c r="W59" s="7"/>
      <c r="X59" s="8"/>
      <c r="Y59" s="7"/>
      <c r="Z59" s="8" t="str">
        <f aca="false">IF(S59="","",S59-N(X59))</f>
        <v/>
      </c>
      <c r="AA59" s="7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8"/>
      <c r="Q60" s="8"/>
      <c r="R60" s="7"/>
      <c r="S60" s="8"/>
      <c r="T60" s="8"/>
      <c r="U60" s="7"/>
      <c r="V60" s="7"/>
      <c r="W60" s="7"/>
      <c r="X60" s="8"/>
      <c r="Y60" s="7"/>
      <c r="Z60" s="8" t="str">
        <f aca="false">IF(S60="","",S60-N(X60))</f>
        <v/>
      </c>
      <c r="AA60" s="7"/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8"/>
      <c r="Q61" s="8"/>
      <c r="R61" s="7"/>
      <c r="S61" s="8"/>
      <c r="T61" s="8"/>
      <c r="U61" s="7"/>
      <c r="V61" s="7"/>
      <c r="W61" s="7"/>
      <c r="X61" s="8"/>
      <c r="Y61" s="7"/>
      <c r="Z61" s="8" t="str">
        <f aca="false">IF(S61="","",S61-N(X61))</f>
        <v/>
      </c>
      <c r="AA61" s="7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8"/>
      <c r="Q62" s="8"/>
      <c r="R62" s="7"/>
      <c r="S62" s="8"/>
      <c r="T62" s="8"/>
      <c r="U62" s="7"/>
      <c r="V62" s="7"/>
      <c r="W62" s="7"/>
      <c r="X62" s="8"/>
      <c r="Y62" s="7"/>
      <c r="Z62" s="8" t="str">
        <f aca="false">IF(S62="","",S62-N(X62))</f>
        <v/>
      </c>
      <c r="AA62" s="7"/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8"/>
      <c r="Q63" s="8"/>
      <c r="R63" s="7"/>
      <c r="S63" s="8"/>
      <c r="T63" s="8"/>
      <c r="U63" s="7"/>
      <c r="V63" s="7"/>
      <c r="W63" s="7"/>
      <c r="X63" s="8"/>
      <c r="Y63" s="7"/>
      <c r="Z63" s="8" t="str">
        <f aca="false">IF(S63="","",S63-N(X63))</f>
        <v/>
      </c>
      <c r="AA63" s="7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8"/>
      <c r="Q64" s="8"/>
      <c r="R64" s="7"/>
      <c r="S64" s="8"/>
      <c r="T64" s="8"/>
      <c r="U64" s="7"/>
      <c r="V64" s="7"/>
      <c r="W64" s="7"/>
      <c r="X64" s="8"/>
      <c r="Y64" s="7"/>
      <c r="Z64" s="8" t="str">
        <f aca="false">IF(S64="","",S64-N(X64))</f>
        <v/>
      </c>
      <c r="AA64" s="7"/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8"/>
      <c r="Q65" s="8"/>
      <c r="R65" s="7"/>
      <c r="S65" s="8"/>
      <c r="T65" s="8"/>
      <c r="U65" s="7"/>
      <c r="V65" s="7"/>
      <c r="W65" s="7"/>
      <c r="X65" s="8"/>
      <c r="Y65" s="7"/>
      <c r="Z65" s="8" t="str">
        <f aca="false">IF(S65="","",S65-N(X65))</f>
        <v/>
      </c>
      <c r="AA65" s="7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8"/>
      <c r="Q66" s="8"/>
      <c r="R66" s="7"/>
      <c r="S66" s="8"/>
      <c r="T66" s="8"/>
      <c r="U66" s="7"/>
      <c r="V66" s="7"/>
      <c r="W66" s="7"/>
      <c r="X66" s="8"/>
      <c r="Y66" s="7"/>
      <c r="Z66" s="8" t="str">
        <f aca="false">IF(S66="","",S66-N(X66))</f>
        <v/>
      </c>
      <c r="AA66" s="7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8"/>
      <c r="Q67" s="8"/>
      <c r="R67" s="7"/>
      <c r="S67" s="8"/>
      <c r="T67" s="8"/>
      <c r="U67" s="7"/>
      <c r="V67" s="7"/>
      <c r="W67" s="7"/>
      <c r="X67" s="8"/>
      <c r="Y67" s="7"/>
      <c r="Z67" s="8" t="str">
        <f aca="false">IF(S67="","",S67-N(X67))</f>
        <v/>
      </c>
      <c r="AA67" s="7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8"/>
      <c r="Q68" s="8"/>
      <c r="R68" s="7"/>
      <c r="S68" s="8"/>
      <c r="T68" s="8"/>
      <c r="U68" s="7"/>
      <c r="V68" s="7"/>
      <c r="W68" s="7"/>
      <c r="X68" s="8"/>
      <c r="Y68" s="7"/>
      <c r="Z68" s="8" t="str">
        <f aca="false">IF(S68="","",S68-N(X68))</f>
        <v/>
      </c>
      <c r="AA68" s="7"/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8"/>
      <c r="Q69" s="8"/>
      <c r="R69" s="7"/>
      <c r="S69" s="8"/>
      <c r="T69" s="8"/>
      <c r="U69" s="7"/>
      <c r="V69" s="7"/>
      <c r="W69" s="7"/>
      <c r="X69" s="8"/>
      <c r="Y69" s="7"/>
      <c r="Z69" s="8" t="str">
        <f aca="false">IF(S69="","",S69-N(X69))</f>
        <v/>
      </c>
      <c r="AA69" s="7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8"/>
      <c r="Q70" s="8"/>
      <c r="R70" s="7"/>
      <c r="S70" s="8"/>
      <c r="T70" s="8"/>
      <c r="U70" s="7"/>
      <c r="V70" s="7"/>
      <c r="W70" s="7"/>
      <c r="X70" s="8"/>
      <c r="Y70" s="7"/>
      <c r="Z70" s="8" t="str">
        <f aca="false">IF(S70="","",S70-N(X70))</f>
        <v/>
      </c>
      <c r="AA70" s="7"/>
    </row>
    <row r="71" customFormat="false" ht="15" hidden="false" customHeight="fals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8"/>
      <c r="Q71" s="8"/>
      <c r="R71" s="7"/>
      <c r="S71" s="8"/>
      <c r="T71" s="8"/>
      <c r="U71" s="7"/>
      <c r="V71" s="7"/>
      <c r="W71" s="7"/>
      <c r="X71" s="8"/>
      <c r="Y71" s="7"/>
      <c r="Z71" s="8" t="str">
        <f aca="false">IF(S71="","",S71-N(X71))</f>
        <v/>
      </c>
      <c r="AA71" s="7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8"/>
      <c r="Q72" s="8"/>
      <c r="R72" s="7"/>
      <c r="S72" s="8"/>
      <c r="T72" s="8"/>
      <c r="U72" s="7"/>
      <c r="V72" s="7"/>
      <c r="W72" s="7"/>
      <c r="X72" s="8"/>
      <c r="Y72" s="7"/>
      <c r="Z72" s="8" t="str">
        <f aca="false">IF(S72="","",S72-N(X72))</f>
        <v/>
      </c>
      <c r="AA72" s="7"/>
    </row>
    <row r="73" customFormat="false" ht="15" hidden="false" customHeight="fals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8"/>
      <c r="Q73" s="8"/>
      <c r="R73" s="7"/>
      <c r="S73" s="8"/>
      <c r="T73" s="8"/>
      <c r="U73" s="7"/>
      <c r="V73" s="7"/>
      <c r="W73" s="7"/>
      <c r="X73" s="8"/>
      <c r="Y73" s="7"/>
      <c r="Z73" s="8" t="str">
        <f aca="false">IF(S73="","",S73-N(X73))</f>
        <v/>
      </c>
      <c r="AA73" s="7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8"/>
      <c r="Q74" s="8"/>
      <c r="R74" s="7"/>
      <c r="S74" s="8"/>
      <c r="T74" s="8"/>
      <c r="U74" s="7"/>
      <c r="V74" s="7"/>
      <c r="W74" s="7"/>
      <c r="X74" s="8"/>
      <c r="Y74" s="7"/>
      <c r="Z74" s="8" t="str">
        <f aca="false">IF(S74="","",S74-N(X74))</f>
        <v/>
      </c>
      <c r="AA74" s="7"/>
    </row>
    <row r="75" customFormat="false" ht="15" hidden="false" customHeight="fals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8"/>
      <c r="Q75" s="8"/>
      <c r="R75" s="7"/>
      <c r="S75" s="8"/>
      <c r="T75" s="8"/>
      <c r="U75" s="7"/>
      <c r="V75" s="7"/>
      <c r="W75" s="7"/>
      <c r="X75" s="8"/>
      <c r="Y75" s="7"/>
      <c r="Z75" s="8" t="str">
        <f aca="false">IF(S75="","",S75-N(X75))</f>
        <v/>
      </c>
      <c r="AA75" s="7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8"/>
      <c r="Q76" s="8"/>
      <c r="R76" s="7"/>
      <c r="S76" s="8"/>
      <c r="T76" s="8"/>
      <c r="U76" s="7"/>
      <c r="V76" s="7"/>
      <c r="W76" s="7"/>
      <c r="X76" s="8"/>
      <c r="Y76" s="7"/>
      <c r="Z76" s="8" t="str">
        <f aca="false">IF(S76="","",S76-N(X76))</f>
        <v/>
      </c>
      <c r="AA76" s="7"/>
    </row>
    <row r="77" customFormat="false" ht="15" hidden="false" customHeight="fals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8"/>
      <c r="Q77" s="8"/>
      <c r="R77" s="7"/>
      <c r="S77" s="8"/>
      <c r="T77" s="8"/>
      <c r="U77" s="7"/>
      <c r="V77" s="7"/>
      <c r="W77" s="7"/>
      <c r="X77" s="8"/>
      <c r="Y77" s="7"/>
      <c r="Z77" s="8" t="str">
        <f aca="false">IF(S77="","",S77-N(X77))</f>
        <v/>
      </c>
      <c r="AA77" s="7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8"/>
      <c r="Q78" s="8"/>
      <c r="R78" s="7"/>
      <c r="S78" s="8"/>
      <c r="T78" s="8"/>
      <c r="U78" s="7"/>
      <c r="V78" s="7"/>
      <c r="W78" s="7"/>
      <c r="X78" s="8"/>
      <c r="Y78" s="7"/>
      <c r="Z78" s="8" t="str">
        <f aca="false">IF(S78="","",S78-N(X78))</f>
        <v/>
      </c>
      <c r="AA78" s="7"/>
    </row>
    <row r="79" customFormat="false" ht="15" hidden="false" customHeight="fals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8"/>
      <c r="Q79" s="8"/>
      <c r="R79" s="7"/>
      <c r="S79" s="8"/>
      <c r="T79" s="8"/>
      <c r="U79" s="7"/>
      <c r="V79" s="7"/>
      <c r="W79" s="7"/>
      <c r="X79" s="8"/>
      <c r="Y79" s="7"/>
      <c r="Z79" s="8" t="str">
        <f aca="false">IF(S79="","",S79-N(X79))</f>
        <v/>
      </c>
      <c r="AA79" s="7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8"/>
      <c r="Q80" s="8"/>
      <c r="R80" s="7"/>
      <c r="S80" s="8"/>
      <c r="T80" s="8"/>
      <c r="U80" s="7"/>
      <c r="V80" s="7"/>
      <c r="W80" s="7"/>
      <c r="X80" s="8"/>
      <c r="Y80" s="7"/>
      <c r="Z80" s="8" t="str">
        <f aca="false">IF(S80="","",S80-N(X80))</f>
        <v/>
      </c>
      <c r="AA80" s="7"/>
    </row>
    <row r="81" customFormat="false" ht="15" hidden="false" customHeight="fals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8"/>
      <c r="Q81" s="8"/>
      <c r="R81" s="7"/>
      <c r="S81" s="8"/>
      <c r="T81" s="8"/>
      <c r="U81" s="7"/>
      <c r="V81" s="7"/>
      <c r="W81" s="7"/>
      <c r="X81" s="8"/>
      <c r="Y81" s="7"/>
      <c r="Z81" s="8" t="str">
        <f aca="false">IF(S81="","",S81-N(X81))</f>
        <v/>
      </c>
      <c r="AA81" s="7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8"/>
      <c r="Q82" s="8"/>
      <c r="R82" s="7"/>
      <c r="S82" s="8"/>
      <c r="T82" s="8"/>
      <c r="U82" s="7"/>
      <c r="V82" s="7"/>
      <c r="W82" s="7"/>
      <c r="X82" s="8"/>
      <c r="Y82" s="7"/>
      <c r="Z82" s="8" t="str">
        <f aca="false">IF(S82="","",S82-N(X82))</f>
        <v/>
      </c>
      <c r="AA82" s="7"/>
    </row>
    <row r="83" customFormat="false" ht="15" hidden="false" customHeight="fals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8"/>
      <c r="Q83" s="8"/>
      <c r="R83" s="7"/>
      <c r="S83" s="8"/>
      <c r="T83" s="8"/>
      <c r="U83" s="7"/>
      <c r="V83" s="7"/>
      <c r="W83" s="7"/>
      <c r="X83" s="8"/>
      <c r="Y83" s="7"/>
      <c r="Z83" s="8" t="str">
        <f aca="false">IF(S83="","",S83-N(X83))</f>
        <v/>
      </c>
      <c r="AA83" s="7"/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8"/>
      <c r="Q84" s="8"/>
      <c r="R84" s="7"/>
      <c r="S84" s="8"/>
      <c r="T84" s="8"/>
      <c r="U84" s="7"/>
      <c r="V84" s="7"/>
      <c r="W84" s="7"/>
      <c r="X84" s="8"/>
      <c r="Y84" s="7"/>
      <c r="Z84" s="8" t="str">
        <f aca="false">IF(S84="","",S84-N(X84))</f>
        <v/>
      </c>
      <c r="AA84" s="7"/>
    </row>
    <row r="85" customFormat="false" ht="15" hidden="false" customHeight="fals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8"/>
      <c r="Q85" s="8"/>
      <c r="R85" s="7"/>
      <c r="S85" s="8"/>
      <c r="T85" s="8"/>
      <c r="U85" s="7"/>
      <c r="V85" s="7"/>
      <c r="W85" s="7"/>
      <c r="X85" s="8"/>
      <c r="Y85" s="7"/>
      <c r="Z85" s="8" t="str">
        <f aca="false">IF(S85="","",S85-N(X85))</f>
        <v/>
      </c>
      <c r="AA85" s="7"/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8"/>
      <c r="Q86" s="8"/>
      <c r="R86" s="7"/>
      <c r="S86" s="8"/>
      <c r="T86" s="8"/>
      <c r="U86" s="7"/>
      <c r="V86" s="7"/>
      <c r="W86" s="7"/>
      <c r="X86" s="8"/>
      <c r="Y86" s="7"/>
      <c r="Z86" s="8" t="str">
        <f aca="false">IF(S86="","",S86-N(X86))</f>
        <v/>
      </c>
      <c r="AA86" s="7"/>
    </row>
    <row r="87" customFormat="false" ht="15" hidden="false" customHeight="fals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8"/>
      <c r="Q87" s="8"/>
      <c r="R87" s="7"/>
      <c r="S87" s="8"/>
      <c r="T87" s="8"/>
      <c r="U87" s="7"/>
      <c r="V87" s="7"/>
      <c r="W87" s="7"/>
      <c r="X87" s="8"/>
      <c r="Y87" s="7"/>
      <c r="Z87" s="8" t="str">
        <f aca="false">IF(S87="","",S87-N(X87))</f>
        <v/>
      </c>
      <c r="AA87" s="7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8"/>
      <c r="Q88" s="8"/>
      <c r="R88" s="7"/>
      <c r="S88" s="8"/>
      <c r="T88" s="8"/>
      <c r="U88" s="7"/>
      <c r="V88" s="7"/>
      <c r="W88" s="7"/>
      <c r="X88" s="8"/>
      <c r="Y88" s="7"/>
      <c r="Z88" s="8" t="str">
        <f aca="false">IF(S88="","",S88-N(X88))</f>
        <v/>
      </c>
      <c r="AA88" s="7"/>
    </row>
    <row r="89" customFormat="false" ht="15" hidden="false" customHeight="fals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8"/>
      <c r="Q89" s="8"/>
      <c r="R89" s="7"/>
      <c r="S89" s="8"/>
      <c r="T89" s="8"/>
      <c r="U89" s="7"/>
      <c r="V89" s="7"/>
      <c r="W89" s="7"/>
      <c r="X89" s="8"/>
      <c r="Y89" s="7"/>
      <c r="Z89" s="8" t="str">
        <f aca="false">IF(S89="","",S89-N(X89))</f>
        <v/>
      </c>
      <c r="AA89" s="7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8"/>
      <c r="Q90" s="8"/>
      <c r="R90" s="7"/>
      <c r="S90" s="8"/>
      <c r="T90" s="8"/>
      <c r="U90" s="7"/>
      <c r="V90" s="7"/>
      <c r="W90" s="7"/>
      <c r="X90" s="8"/>
      <c r="Y90" s="7"/>
      <c r="Z90" s="8" t="str">
        <f aca="false">IF(S90="","",S90-N(X90))</f>
        <v/>
      </c>
      <c r="AA90" s="7"/>
    </row>
    <row r="91" customFormat="false" ht="15" hidden="false" customHeight="fals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8"/>
      <c r="Q91" s="8"/>
      <c r="R91" s="7"/>
      <c r="S91" s="8"/>
      <c r="T91" s="8"/>
      <c r="U91" s="7"/>
      <c r="V91" s="7"/>
      <c r="W91" s="7"/>
      <c r="X91" s="8"/>
      <c r="Y91" s="7"/>
      <c r="Z91" s="8" t="str">
        <f aca="false">IF(S91="","",S91-N(X91))</f>
        <v/>
      </c>
      <c r="AA91" s="7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8"/>
      <c r="Q92" s="8"/>
      <c r="R92" s="7"/>
      <c r="S92" s="8"/>
      <c r="T92" s="8"/>
      <c r="U92" s="7"/>
      <c r="V92" s="7"/>
      <c r="W92" s="7"/>
      <c r="X92" s="8"/>
      <c r="Y92" s="7"/>
      <c r="Z92" s="8" t="str">
        <f aca="false">IF(S92="","",S92-N(X92))</f>
        <v/>
      </c>
      <c r="AA92" s="7"/>
    </row>
    <row r="93" customFormat="false" ht="15" hidden="false" customHeight="fals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8"/>
      <c r="Q93" s="8"/>
      <c r="R93" s="7"/>
      <c r="S93" s="8"/>
      <c r="T93" s="8"/>
      <c r="U93" s="7"/>
      <c r="V93" s="7"/>
      <c r="W93" s="7"/>
      <c r="X93" s="8"/>
      <c r="Y93" s="7"/>
      <c r="Z93" s="8" t="str">
        <f aca="false">IF(S93="","",S93-N(X93))</f>
        <v/>
      </c>
      <c r="AA93" s="7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8"/>
      <c r="Q94" s="8"/>
      <c r="R94" s="7"/>
      <c r="S94" s="8"/>
      <c r="T94" s="8"/>
      <c r="U94" s="7"/>
      <c r="V94" s="7"/>
      <c r="W94" s="7"/>
      <c r="X94" s="8"/>
      <c r="Y94" s="7"/>
      <c r="Z94" s="8" t="str">
        <f aca="false">IF(S94="","",S94-N(X94))</f>
        <v/>
      </c>
      <c r="AA94" s="7"/>
    </row>
    <row r="95" customFormat="false" ht="15" hidden="false" customHeight="fals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8"/>
      <c r="Q95" s="8"/>
      <c r="R95" s="7"/>
      <c r="S95" s="8"/>
      <c r="T95" s="8"/>
      <c r="U95" s="7"/>
      <c r="V95" s="7"/>
      <c r="W95" s="7"/>
      <c r="X95" s="8"/>
      <c r="Y95" s="7"/>
      <c r="Z95" s="8" t="str">
        <f aca="false">IF(S95="","",S95-N(X95))</f>
        <v/>
      </c>
      <c r="AA95" s="7"/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8"/>
      <c r="Q96" s="8"/>
      <c r="R96" s="7"/>
      <c r="S96" s="8"/>
      <c r="T96" s="8"/>
      <c r="U96" s="7"/>
      <c r="V96" s="7"/>
      <c r="W96" s="7"/>
      <c r="X96" s="8"/>
      <c r="Y96" s="7"/>
      <c r="Z96" s="8" t="str">
        <f aca="false">IF(S96="","",S96-N(X96))</f>
        <v/>
      </c>
      <c r="AA96" s="7"/>
    </row>
    <row r="97" customFormat="false" ht="15" hidden="false" customHeight="fals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8"/>
      <c r="Q97" s="8"/>
      <c r="R97" s="7"/>
      <c r="S97" s="8"/>
      <c r="T97" s="8"/>
      <c r="U97" s="7"/>
      <c r="V97" s="7"/>
      <c r="W97" s="7"/>
      <c r="X97" s="8"/>
      <c r="Y97" s="7"/>
      <c r="Z97" s="8" t="str">
        <f aca="false">IF(S97="","",S97-N(X97))</f>
        <v/>
      </c>
      <c r="AA97" s="7"/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8"/>
      <c r="Q98" s="8"/>
      <c r="R98" s="7"/>
      <c r="S98" s="8"/>
      <c r="T98" s="8"/>
      <c r="U98" s="7"/>
      <c r="V98" s="7"/>
      <c r="W98" s="7"/>
      <c r="X98" s="8"/>
      <c r="Y98" s="7"/>
      <c r="Z98" s="8" t="str">
        <f aca="false">IF(S98="","",S98-N(X98))</f>
        <v/>
      </c>
      <c r="AA98" s="7"/>
    </row>
    <row r="99" customFormat="false" ht="15" hidden="false" customHeight="fals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8"/>
      <c r="Q99" s="8"/>
      <c r="R99" s="7"/>
      <c r="S99" s="8"/>
      <c r="T99" s="8"/>
      <c r="U99" s="7"/>
      <c r="V99" s="7"/>
      <c r="W99" s="7"/>
      <c r="X99" s="8"/>
      <c r="Y99" s="7"/>
      <c r="Z99" s="8" t="str">
        <f aca="false">IF(S99="","",S99-N(X99))</f>
        <v/>
      </c>
      <c r="AA99" s="7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8"/>
      <c r="Q100" s="8"/>
      <c r="R100" s="7"/>
      <c r="S100" s="8"/>
      <c r="T100" s="8"/>
      <c r="U100" s="7"/>
      <c r="V100" s="7"/>
      <c r="W100" s="7"/>
      <c r="X100" s="8"/>
      <c r="Y100" s="7"/>
      <c r="Z100" s="8" t="str">
        <f aca="false">IF(S100="","",S100-N(X100))</f>
        <v/>
      </c>
      <c r="AA100" s="7"/>
    </row>
    <row r="101" customFormat="false" ht="15" hidden="false" customHeight="fals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8"/>
      <c r="Q101" s="8"/>
      <c r="R101" s="7"/>
      <c r="S101" s="8"/>
      <c r="T101" s="8"/>
      <c r="U101" s="7"/>
      <c r="V101" s="7"/>
      <c r="W101" s="7"/>
      <c r="X101" s="8"/>
      <c r="Y101" s="7"/>
      <c r="Z101" s="8" t="str">
        <f aca="false">IF(S101="","",S101-N(X101))</f>
        <v/>
      </c>
      <c r="AA101" s="7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8"/>
      <c r="Q102" s="8"/>
      <c r="R102" s="7"/>
      <c r="S102" s="8"/>
      <c r="T102" s="8"/>
      <c r="U102" s="7"/>
      <c r="V102" s="7"/>
      <c r="W102" s="7"/>
      <c r="X102" s="8"/>
      <c r="Y102" s="7"/>
      <c r="Z102" s="8" t="str">
        <f aca="false">IF(S102="","",S102-N(X102))</f>
        <v/>
      </c>
      <c r="AA102" s="7"/>
    </row>
    <row r="103" customFormat="false" ht="15" hidden="false" customHeight="fals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8"/>
      <c r="Q103" s="8"/>
      <c r="R103" s="7"/>
      <c r="S103" s="8"/>
      <c r="T103" s="8"/>
      <c r="U103" s="7"/>
      <c r="V103" s="7"/>
      <c r="W103" s="7"/>
      <c r="X103" s="8"/>
      <c r="Y103" s="7"/>
      <c r="Z103" s="8" t="str">
        <f aca="false">IF(S103="","",S103-N(X103))</f>
        <v/>
      </c>
      <c r="AA103" s="7"/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8"/>
      <c r="Q104" s="8"/>
      <c r="R104" s="7"/>
      <c r="S104" s="8"/>
      <c r="T104" s="8"/>
      <c r="U104" s="7"/>
      <c r="V104" s="7"/>
      <c r="W104" s="7"/>
      <c r="X104" s="8"/>
      <c r="Y104" s="7"/>
      <c r="Z104" s="8" t="str">
        <f aca="false">IF(S104="","",S104-N(X104))</f>
        <v/>
      </c>
      <c r="AA104" s="7"/>
    </row>
    <row r="105" customFormat="false" ht="15" hidden="false" customHeight="fals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8"/>
      <c r="Q105" s="8"/>
      <c r="R105" s="7"/>
      <c r="S105" s="8"/>
      <c r="T105" s="8"/>
      <c r="U105" s="7"/>
      <c r="V105" s="7"/>
      <c r="W105" s="7"/>
      <c r="X105" s="8"/>
      <c r="Y105" s="7"/>
      <c r="Z105" s="8" t="str">
        <f aca="false">IF(S105="","",S105-N(X105))</f>
        <v/>
      </c>
      <c r="AA105" s="7"/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8"/>
      <c r="Q106" s="8"/>
      <c r="R106" s="7"/>
      <c r="S106" s="8"/>
      <c r="T106" s="8"/>
      <c r="U106" s="7"/>
      <c r="V106" s="7"/>
      <c r="W106" s="7"/>
      <c r="X106" s="8"/>
      <c r="Y106" s="7"/>
      <c r="Z106" s="8" t="str">
        <f aca="false">IF(S106="","",S106-N(X106))</f>
        <v/>
      </c>
      <c r="AA106" s="7"/>
    </row>
    <row r="107" customFormat="false" ht="15" hidden="false" customHeight="fals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8"/>
      <c r="Q107" s="8"/>
      <c r="R107" s="7"/>
      <c r="S107" s="8"/>
      <c r="T107" s="8"/>
      <c r="U107" s="7"/>
      <c r="V107" s="7"/>
      <c r="W107" s="7"/>
      <c r="X107" s="8"/>
      <c r="Y107" s="7"/>
      <c r="Z107" s="8" t="str">
        <f aca="false">IF(S107="","",S107-N(X107))</f>
        <v/>
      </c>
      <c r="AA107" s="7"/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8"/>
      <c r="Q108" s="8"/>
      <c r="R108" s="7"/>
      <c r="S108" s="8"/>
      <c r="T108" s="8"/>
      <c r="U108" s="7"/>
      <c r="V108" s="7"/>
      <c r="W108" s="7"/>
      <c r="X108" s="8"/>
      <c r="Y108" s="7"/>
      <c r="Z108" s="8" t="str">
        <f aca="false">IF(S108="","",S108-N(X108))</f>
        <v/>
      </c>
      <c r="AA108" s="7"/>
    </row>
    <row r="109" customFormat="false" ht="15" hidden="false" customHeight="fals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8"/>
      <c r="Q109" s="8"/>
      <c r="R109" s="7"/>
      <c r="S109" s="8"/>
      <c r="T109" s="8"/>
      <c r="U109" s="7"/>
      <c r="V109" s="7"/>
      <c r="W109" s="7"/>
      <c r="X109" s="8"/>
      <c r="Y109" s="7"/>
      <c r="Z109" s="8" t="str">
        <f aca="false">IF(S109="","",S109-N(X109))</f>
        <v/>
      </c>
      <c r="AA109" s="7"/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8"/>
      <c r="Q110" s="8"/>
      <c r="R110" s="7"/>
      <c r="S110" s="8"/>
      <c r="T110" s="8"/>
      <c r="U110" s="7"/>
      <c r="V110" s="7"/>
      <c r="W110" s="7"/>
      <c r="X110" s="8"/>
      <c r="Y110" s="7"/>
      <c r="Z110" s="8" t="str">
        <f aca="false">IF(S110="","",S110-N(X110))</f>
        <v/>
      </c>
      <c r="AA110" s="7"/>
    </row>
    <row r="111" customFormat="false" ht="15" hidden="false" customHeight="fals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8"/>
      <c r="Q111" s="8"/>
      <c r="R111" s="7"/>
      <c r="S111" s="8"/>
      <c r="T111" s="8"/>
      <c r="U111" s="7"/>
      <c r="V111" s="7"/>
      <c r="W111" s="7"/>
      <c r="X111" s="8"/>
      <c r="Y111" s="7"/>
      <c r="Z111" s="8" t="str">
        <f aca="false">IF(S111="","",S111-N(X111))</f>
        <v/>
      </c>
      <c r="AA111" s="7"/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8"/>
      <c r="Q112" s="8"/>
      <c r="R112" s="7"/>
      <c r="S112" s="8"/>
      <c r="T112" s="8"/>
      <c r="U112" s="7"/>
      <c r="V112" s="7"/>
      <c r="W112" s="7"/>
      <c r="X112" s="8"/>
      <c r="Y112" s="7"/>
      <c r="Z112" s="8" t="str">
        <f aca="false">IF(S112="","",S112-N(X112))</f>
        <v/>
      </c>
      <c r="AA112" s="7"/>
    </row>
    <row r="113" customFormat="false" ht="15" hidden="false" customHeight="fals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8"/>
      <c r="Q113" s="8"/>
      <c r="R113" s="7"/>
      <c r="S113" s="8"/>
      <c r="T113" s="8"/>
      <c r="U113" s="7"/>
      <c r="V113" s="7"/>
      <c r="W113" s="7"/>
      <c r="X113" s="8"/>
      <c r="Y113" s="7"/>
      <c r="Z113" s="8" t="str">
        <f aca="false">IF(S113="","",S113-N(X113))</f>
        <v/>
      </c>
      <c r="AA113" s="7"/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8"/>
      <c r="Q114" s="8"/>
      <c r="R114" s="7"/>
      <c r="S114" s="8"/>
      <c r="T114" s="8"/>
      <c r="U114" s="7"/>
      <c r="V114" s="7"/>
      <c r="W114" s="7"/>
      <c r="X114" s="8"/>
      <c r="Y114" s="7"/>
      <c r="Z114" s="8" t="str">
        <f aca="false">IF(S114="","",S114-N(X114))</f>
        <v/>
      </c>
      <c r="AA114" s="7"/>
    </row>
    <row r="115" customFormat="false" ht="15" hidden="false" customHeight="fals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8"/>
      <c r="Q115" s="8"/>
      <c r="R115" s="7"/>
      <c r="S115" s="8"/>
      <c r="T115" s="8"/>
      <c r="U115" s="7"/>
      <c r="V115" s="7"/>
      <c r="W115" s="7"/>
      <c r="X115" s="8"/>
      <c r="Y115" s="7"/>
      <c r="Z115" s="8" t="str">
        <f aca="false">IF(S115="","",S115-N(X115))</f>
        <v/>
      </c>
      <c r="AA115" s="7"/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8"/>
      <c r="Q116" s="8"/>
      <c r="R116" s="7"/>
      <c r="S116" s="8"/>
      <c r="T116" s="8"/>
      <c r="U116" s="7"/>
      <c r="V116" s="7"/>
      <c r="W116" s="7"/>
      <c r="X116" s="8"/>
      <c r="Y116" s="7"/>
      <c r="Z116" s="8" t="str">
        <f aca="false">IF(S116="","",S116-N(X116))</f>
        <v/>
      </c>
      <c r="AA116" s="7"/>
    </row>
    <row r="117" customFormat="false" ht="15" hidden="false" customHeight="fals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8"/>
      <c r="Q117" s="8"/>
      <c r="R117" s="7"/>
      <c r="S117" s="8"/>
      <c r="T117" s="8"/>
      <c r="U117" s="7"/>
      <c r="V117" s="7"/>
      <c r="W117" s="7"/>
      <c r="X117" s="8"/>
      <c r="Y117" s="7"/>
      <c r="Z117" s="8" t="str">
        <f aca="false">IF(S117="","",S117-N(X117))</f>
        <v/>
      </c>
      <c r="AA117" s="7"/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8"/>
      <c r="Q118" s="8"/>
      <c r="R118" s="7"/>
      <c r="S118" s="8"/>
      <c r="T118" s="8"/>
      <c r="U118" s="7"/>
      <c r="V118" s="7"/>
      <c r="W118" s="7"/>
      <c r="X118" s="8"/>
      <c r="Y118" s="7"/>
      <c r="Z118" s="8" t="str">
        <f aca="false">IF(S118="","",S118-N(X118))</f>
        <v/>
      </c>
      <c r="AA118" s="7"/>
    </row>
    <row r="119" customFormat="false" ht="15" hidden="false" customHeight="fals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8"/>
      <c r="Q119" s="8"/>
      <c r="R119" s="7"/>
      <c r="S119" s="8"/>
      <c r="T119" s="8"/>
      <c r="U119" s="7"/>
      <c r="V119" s="7"/>
      <c r="W119" s="7"/>
      <c r="X119" s="8"/>
      <c r="Y119" s="7"/>
      <c r="Z119" s="8" t="str">
        <f aca="false">IF(S119="","",S119-N(X119))</f>
        <v/>
      </c>
      <c r="AA119" s="7"/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8"/>
      <c r="Q120" s="8"/>
      <c r="R120" s="7"/>
      <c r="S120" s="8"/>
      <c r="T120" s="8"/>
      <c r="U120" s="7"/>
      <c r="V120" s="7"/>
      <c r="W120" s="7"/>
      <c r="X120" s="8"/>
      <c r="Y120" s="7"/>
      <c r="Z120" s="8" t="str">
        <f aca="false">IF(S120="","",S120-N(X120))</f>
        <v/>
      </c>
      <c r="AA120" s="7"/>
    </row>
    <row r="121" customFormat="false" ht="15" hidden="false" customHeight="fals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8"/>
      <c r="Q121" s="8"/>
      <c r="R121" s="7"/>
      <c r="S121" s="8"/>
      <c r="T121" s="8"/>
      <c r="U121" s="7"/>
      <c r="V121" s="7"/>
      <c r="W121" s="7"/>
      <c r="X121" s="8"/>
      <c r="Y121" s="7"/>
      <c r="Z121" s="8" t="str">
        <f aca="false">IF(S121="","",S121-N(X121))</f>
        <v/>
      </c>
      <c r="AA121" s="7"/>
    </row>
    <row r="122" customFormat="false" ht="15" hidden="false" customHeight="fals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8"/>
      <c r="Q122" s="8"/>
      <c r="R122" s="7"/>
      <c r="S122" s="8"/>
      <c r="T122" s="8"/>
      <c r="U122" s="7"/>
      <c r="V122" s="7"/>
      <c r="W122" s="7"/>
      <c r="X122" s="8"/>
      <c r="Y122" s="7"/>
      <c r="Z122" s="8" t="str">
        <f aca="false">IF(S122="","",S122-N(X122))</f>
        <v/>
      </c>
      <c r="AA122" s="7"/>
    </row>
    <row r="123" customFormat="false" ht="15" hidden="false" customHeight="fals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8"/>
      <c r="Q123" s="8"/>
      <c r="R123" s="7"/>
      <c r="S123" s="8"/>
      <c r="T123" s="8"/>
      <c r="U123" s="7"/>
      <c r="V123" s="7"/>
      <c r="W123" s="7"/>
      <c r="X123" s="8"/>
      <c r="Y123" s="7"/>
      <c r="Z123" s="8" t="str">
        <f aca="false">IF(S123="","",S123-N(X123))</f>
        <v/>
      </c>
      <c r="AA123" s="7"/>
    </row>
    <row r="124" customFormat="false" ht="15" hidden="false" customHeight="fals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8"/>
      <c r="Q124" s="8"/>
      <c r="R124" s="7"/>
      <c r="S124" s="8"/>
      <c r="T124" s="8"/>
      <c r="U124" s="7"/>
      <c r="V124" s="7"/>
      <c r="W124" s="7"/>
      <c r="X124" s="8"/>
      <c r="Y124" s="7"/>
      <c r="Z124" s="8" t="str">
        <f aca="false">IF(S124="","",S124-N(X124))</f>
        <v/>
      </c>
      <c r="AA124" s="7"/>
    </row>
    <row r="125" customFormat="false" ht="15" hidden="false" customHeight="fals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8"/>
      <c r="Q125" s="8"/>
      <c r="R125" s="7"/>
      <c r="S125" s="8"/>
      <c r="T125" s="8"/>
      <c r="U125" s="7"/>
      <c r="V125" s="7"/>
      <c r="W125" s="7"/>
      <c r="X125" s="8"/>
      <c r="Y125" s="7"/>
      <c r="Z125" s="8" t="str">
        <f aca="false">IF(S125="","",S125-N(X125))</f>
        <v/>
      </c>
      <c r="AA125" s="7"/>
    </row>
    <row r="126" customFormat="false" ht="15" hidden="false" customHeight="fals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8"/>
      <c r="Q126" s="8"/>
      <c r="R126" s="7"/>
      <c r="S126" s="8"/>
      <c r="T126" s="8"/>
      <c r="U126" s="7"/>
      <c r="V126" s="7"/>
      <c r="W126" s="7"/>
      <c r="X126" s="8"/>
      <c r="Y126" s="7"/>
      <c r="Z126" s="8" t="str">
        <f aca="false">IF(S126="","",S126-N(X126))</f>
        <v/>
      </c>
      <c r="AA126" s="7"/>
    </row>
    <row r="127" customFormat="false" ht="15" hidden="false" customHeight="fals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8"/>
      <c r="Q127" s="8"/>
      <c r="R127" s="7"/>
      <c r="S127" s="8"/>
      <c r="T127" s="8"/>
      <c r="U127" s="7"/>
      <c r="V127" s="7"/>
      <c r="W127" s="7"/>
      <c r="X127" s="8"/>
      <c r="Y127" s="7"/>
      <c r="Z127" s="8" t="str">
        <f aca="false">IF(S127="","",S127-N(X127))</f>
        <v/>
      </c>
      <c r="AA127" s="7"/>
    </row>
    <row r="128" customFormat="false" ht="15" hidden="false" customHeight="fals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8"/>
      <c r="Q128" s="8"/>
      <c r="R128" s="7"/>
      <c r="S128" s="8"/>
      <c r="T128" s="8"/>
      <c r="U128" s="7"/>
      <c r="V128" s="7"/>
      <c r="W128" s="7"/>
      <c r="X128" s="8"/>
      <c r="Y128" s="7"/>
      <c r="Z128" s="8" t="str">
        <f aca="false">IF(S128="","",S128-N(X128))</f>
        <v/>
      </c>
      <c r="AA128" s="7"/>
    </row>
    <row r="129" customFormat="false" ht="15" hidden="false" customHeight="fals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8"/>
      <c r="Q129" s="8"/>
      <c r="R129" s="7"/>
      <c r="S129" s="8"/>
      <c r="T129" s="8"/>
      <c r="U129" s="7"/>
      <c r="V129" s="7"/>
      <c r="W129" s="7"/>
      <c r="X129" s="8"/>
      <c r="Y129" s="7"/>
      <c r="Z129" s="8" t="str">
        <f aca="false">IF(S129="","",S129-N(X129))</f>
        <v/>
      </c>
      <c r="AA129" s="7"/>
    </row>
    <row r="130" customFormat="false" ht="15" hidden="false" customHeight="fals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8"/>
      <c r="Q130" s="8"/>
      <c r="R130" s="7"/>
      <c r="S130" s="8"/>
      <c r="T130" s="8"/>
      <c r="U130" s="7"/>
      <c r="V130" s="7"/>
      <c r="W130" s="7"/>
      <c r="X130" s="8"/>
      <c r="Y130" s="7"/>
      <c r="Z130" s="8" t="str">
        <f aca="false">IF(S130="","",S130-N(X130))</f>
        <v/>
      </c>
      <c r="AA130" s="7"/>
    </row>
    <row r="131" customFormat="false" ht="15" hidden="false" customHeight="fals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8"/>
      <c r="Q131" s="8"/>
      <c r="R131" s="7"/>
      <c r="S131" s="8"/>
      <c r="T131" s="8"/>
      <c r="U131" s="7"/>
      <c r="V131" s="7"/>
      <c r="W131" s="7"/>
      <c r="X131" s="8"/>
      <c r="Y131" s="7"/>
      <c r="Z131" s="8" t="str">
        <f aca="false">IF(S131="","",S131-N(X131))</f>
        <v/>
      </c>
      <c r="AA131" s="7"/>
    </row>
    <row r="132" customFormat="false" ht="15" hidden="false" customHeight="fals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8"/>
      <c r="Q132" s="8"/>
      <c r="R132" s="7"/>
      <c r="S132" s="8"/>
      <c r="T132" s="8"/>
      <c r="U132" s="7"/>
      <c r="V132" s="7"/>
      <c r="W132" s="7"/>
      <c r="X132" s="8"/>
      <c r="Y132" s="7"/>
      <c r="Z132" s="8" t="str">
        <f aca="false">IF(S132="","",S132-N(X132))</f>
        <v/>
      </c>
      <c r="AA132" s="7"/>
    </row>
    <row r="133" customFormat="false" ht="15" hidden="false" customHeight="fals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8"/>
      <c r="Q133" s="8"/>
      <c r="R133" s="7"/>
      <c r="S133" s="8"/>
      <c r="T133" s="8"/>
      <c r="U133" s="7"/>
      <c r="V133" s="7"/>
      <c r="W133" s="7"/>
      <c r="X133" s="8"/>
      <c r="Y133" s="7"/>
      <c r="Z133" s="8" t="str">
        <f aca="false">IF(S133="","",S133-N(X133))</f>
        <v/>
      </c>
      <c r="AA133" s="7"/>
    </row>
    <row r="134" customFormat="false" ht="15" hidden="false" customHeight="fals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8"/>
      <c r="Q134" s="8"/>
      <c r="R134" s="7"/>
      <c r="S134" s="8"/>
      <c r="T134" s="8"/>
      <c r="U134" s="7"/>
      <c r="V134" s="7"/>
      <c r="W134" s="7"/>
      <c r="X134" s="8"/>
      <c r="Y134" s="7"/>
      <c r="Z134" s="8" t="str">
        <f aca="false">IF(S134="","",S134-N(X134))</f>
        <v/>
      </c>
      <c r="AA134" s="7"/>
    </row>
    <row r="135" customFormat="false" ht="15" hidden="false" customHeight="fals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8"/>
      <c r="Q135" s="8"/>
      <c r="R135" s="7"/>
      <c r="S135" s="8"/>
      <c r="T135" s="8"/>
      <c r="U135" s="7"/>
      <c r="V135" s="7"/>
      <c r="W135" s="7"/>
      <c r="X135" s="8"/>
      <c r="Y135" s="7"/>
      <c r="Z135" s="8" t="str">
        <f aca="false">IF(S135="","",S135-N(X135))</f>
        <v/>
      </c>
      <c r="AA135" s="7"/>
    </row>
    <row r="136" customFormat="false" ht="15" hidden="false" customHeight="fals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8"/>
      <c r="Q136" s="8"/>
      <c r="R136" s="7"/>
      <c r="S136" s="8"/>
      <c r="T136" s="8"/>
      <c r="U136" s="7"/>
      <c r="V136" s="7"/>
      <c r="W136" s="7"/>
      <c r="X136" s="8"/>
      <c r="Y136" s="7"/>
      <c r="Z136" s="8" t="str">
        <f aca="false">IF(S136="","",S136-N(X136))</f>
        <v/>
      </c>
      <c r="AA136" s="7"/>
    </row>
    <row r="137" customFormat="false" ht="15" hidden="false" customHeight="fals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8"/>
      <c r="Q137" s="8"/>
      <c r="R137" s="7"/>
      <c r="S137" s="8"/>
      <c r="T137" s="8"/>
      <c r="U137" s="7"/>
      <c r="V137" s="7"/>
      <c r="W137" s="7"/>
      <c r="X137" s="8"/>
      <c r="Y137" s="7"/>
      <c r="Z137" s="8" t="str">
        <f aca="false">IF(S137="","",S137-N(X137))</f>
        <v/>
      </c>
      <c r="AA137" s="7"/>
    </row>
    <row r="138" customFormat="false" ht="15" hidden="false" customHeight="fals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8"/>
      <c r="Q138" s="8"/>
      <c r="R138" s="7"/>
      <c r="S138" s="8"/>
      <c r="T138" s="8"/>
      <c r="U138" s="7"/>
      <c r="V138" s="7"/>
      <c r="W138" s="7"/>
      <c r="X138" s="8"/>
      <c r="Y138" s="7"/>
      <c r="Z138" s="8" t="str">
        <f aca="false">IF(S138="","",S138-N(X138))</f>
        <v/>
      </c>
      <c r="AA138" s="7"/>
    </row>
    <row r="139" customFormat="false" ht="15" hidden="false" customHeight="fals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8"/>
      <c r="Q139" s="8"/>
      <c r="R139" s="7"/>
      <c r="S139" s="8"/>
      <c r="T139" s="8"/>
      <c r="U139" s="7"/>
      <c r="V139" s="7"/>
      <c r="W139" s="7"/>
      <c r="X139" s="8"/>
      <c r="Y139" s="7"/>
      <c r="Z139" s="8" t="str">
        <f aca="false">IF(S139="","",S139-N(X139))</f>
        <v/>
      </c>
      <c r="AA139" s="7"/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8"/>
      <c r="Q140" s="8"/>
      <c r="R140" s="7"/>
      <c r="S140" s="8"/>
      <c r="T140" s="8"/>
      <c r="U140" s="7"/>
      <c r="V140" s="7"/>
      <c r="W140" s="7"/>
      <c r="X140" s="8"/>
      <c r="Y140" s="7"/>
      <c r="Z140" s="8" t="str">
        <f aca="false">IF(S140="","",S140-N(X140))</f>
        <v/>
      </c>
      <c r="AA140" s="7"/>
    </row>
    <row r="141" customFormat="false" ht="15" hidden="false" customHeight="fals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8"/>
      <c r="Q141" s="8"/>
      <c r="R141" s="7"/>
      <c r="S141" s="8"/>
      <c r="T141" s="8"/>
      <c r="U141" s="7"/>
      <c r="V141" s="7"/>
      <c r="W141" s="7"/>
      <c r="X141" s="8"/>
      <c r="Y141" s="7"/>
      <c r="Z141" s="8" t="str">
        <f aca="false">IF(S141="","",S141-N(X141))</f>
        <v/>
      </c>
      <c r="AA141" s="7"/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8"/>
      <c r="Q142" s="8"/>
      <c r="R142" s="7"/>
      <c r="S142" s="8"/>
      <c r="T142" s="8"/>
      <c r="U142" s="7"/>
      <c r="V142" s="7"/>
      <c r="W142" s="7"/>
      <c r="X142" s="8"/>
      <c r="Y142" s="7"/>
      <c r="Z142" s="8" t="str">
        <f aca="false">IF(S142="","",S142-N(X142))</f>
        <v/>
      </c>
      <c r="AA142" s="7"/>
    </row>
    <row r="143" customFormat="false" ht="15" hidden="false" customHeight="fals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8"/>
      <c r="Q143" s="8"/>
      <c r="R143" s="7"/>
      <c r="S143" s="8"/>
      <c r="T143" s="8"/>
      <c r="U143" s="7"/>
      <c r="V143" s="7"/>
      <c r="W143" s="7"/>
      <c r="X143" s="8"/>
      <c r="Y143" s="7"/>
      <c r="Z143" s="8" t="str">
        <f aca="false">IF(S143="","",S143-N(X143))</f>
        <v/>
      </c>
      <c r="AA143" s="7"/>
    </row>
    <row r="144" customFormat="false" ht="15" hidden="false" customHeight="fals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8"/>
      <c r="Q144" s="8"/>
      <c r="R144" s="7"/>
      <c r="S144" s="8"/>
      <c r="T144" s="8"/>
      <c r="U144" s="7"/>
      <c r="V144" s="7"/>
      <c r="W144" s="7"/>
      <c r="X144" s="8"/>
      <c r="Y144" s="7"/>
      <c r="Z144" s="8" t="str">
        <f aca="false">IF(S144="","",S144-N(X144))</f>
        <v/>
      </c>
      <c r="AA144" s="7"/>
    </row>
    <row r="145" customFormat="false" ht="15" hidden="false" customHeight="fals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8"/>
      <c r="Q145" s="8"/>
      <c r="R145" s="7"/>
      <c r="S145" s="8"/>
      <c r="T145" s="8"/>
      <c r="U145" s="7"/>
      <c r="V145" s="7"/>
      <c r="W145" s="7"/>
      <c r="X145" s="8"/>
      <c r="Y145" s="7"/>
      <c r="Z145" s="8" t="str">
        <f aca="false">IF(S145="","",S145-N(X145))</f>
        <v/>
      </c>
      <c r="AA145" s="7"/>
    </row>
    <row r="146" customFormat="false" ht="15" hidden="false" customHeight="fals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8"/>
      <c r="Q146" s="8"/>
      <c r="R146" s="7"/>
      <c r="S146" s="8"/>
      <c r="T146" s="8"/>
      <c r="U146" s="7"/>
      <c r="V146" s="7"/>
      <c r="W146" s="7"/>
      <c r="X146" s="8"/>
      <c r="Y146" s="7"/>
      <c r="Z146" s="8" t="str">
        <f aca="false">IF(S146="","",S146-N(X146))</f>
        <v/>
      </c>
      <c r="AA146" s="7"/>
    </row>
    <row r="147" customFormat="false" ht="15" hidden="false" customHeight="fals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8"/>
      <c r="Q147" s="8"/>
      <c r="R147" s="7"/>
      <c r="S147" s="8"/>
      <c r="T147" s="8"/>
      <c r="U147" s="7"/>
      <c r="V147" s="7"/>
      <c r="W147" s="7"/>
      <c r="X147" s="8"/>
      <c r="Y147" s="7"/>
      <c r="Z147" s="8" t="str">
        <f aca="false">IF(S147="","",S147-N(X147))</f>
        <v/>
      </c>
      <c r="AA147" s="7"/>
    </row>
    <row r="148" customFormat="false" ht="15" hidden="false" customHeight="fals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8"/>
      <c r="Q148" s="8"/>
      <c r="R148" s="7"/>
      <c r="S148" s="8"/>
      <c r="T148" s="8"/>
      <c r="U148" s="7"/>
      <c r="V148" s="7"/>
      <c r="W148" s="7"/>
      <c r="X148" s="8"/>
      <c r="Y148" s="7"/>
      <c r="Z148" s="8" t="str">
        <f aca="false">IF(S148="","",S148-N(X148))</f>
        <v/>
      </c>
      <c r="AA148" s="7"/>
    </row>
    <row r="149" customFormat="false" ht="15" hidden="false" customHeight="fals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8"/>
      <c r="Q149" s="8"/>
      <c r="R149" s="7"/>
      <c r="S149" s="8"/>
      <c r="T149" s="8"/>
      <c r="U149" s="7"/>
      <c r="V149" s="7"/>
      <c r="W149" s="7"/>
      <c r="X149" s="8"/>
      <c r="Y149" s="7"/>
      <c r="Z149" s="8" t="str">
        <f aca="false">IF(S149="","",S149-N(X149))</f>
        <v/>
      </c>
      <c r="AA149" s="7"/>
    </row>
    <row r="150" customFormat="false" ht="15" hidden="false" customHeight="fals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8"/>
      <c r="Q150" s="8"/>
      <c r="R150" s="7"/>
      <c r="S150" s="8"/>
      <c r="T150" s="8"/>
      <c r="U150" s="7"/>
      <c r="V150" s="7"/>
      <c r="W150" s="7"/>
      <c r="X150" s="8"/>
      <c r="Y150" s="7"/>
      <c r="Z150" s="8" t="str">
        <f aca="false">IF(S150="","",S150-N(X150))</f>
        <v/>
      </c>
      <c r="AA150" s="7"/>
    </row>
    <row r="151" customFormat="false" ht="15" hidden="false" customHeight="fals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8"/>
      <c r="Q151" s="8"/>
      <c r="R151" s="7"/>
      <c r="S151" s="8"/>
      <c r="T151" s="8"/>
      <c r="U151" s="7"/>
      <c r="V151" s="7"/>
      <c r="W151" s="7"/>
      <c r="X151" s="8"/>
      <c r="Y151" s="7"/>
      <c r="Z151" s="8" t="str">
        <f aca="false">IF(S151="","",S151-N(X151))</f>
        <v/>
      </c>
      <c r="AA151" s="7"/>
    </row>
    <row r="152" customFormat="false" ht="15" hidden="false" customHeight="fals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8"/>
      <c r="Q152" s="8"/>
      <c r="R152" s="7"/>
      <c r="S152" s="8"/>
      <c r="T152" s="8"/>
      <c r="U152" s="7"/>
      <c r="V152" s="7"/>
      <c r="W152" s="7"/>
      <c r="X152" s="8"/>
      <c r="Y152" s="7"/>
      <c r="Z152" s="8" t="str">
        <f aca="false">IF(S152="","",S152-N(X152))</f>
        <v/>
      </c>
      <c r="AA152" s="7"/>
    </row>
    <row r="153" customFormat="false" ht="15" hidden="false" customHeight="fals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8"/>
      <c r="Q153" s="8"/>
      <c r="R153" s="7"/>
      <c r="S153" s="8"/>
      <c r="T153" s="8"/>
      <c r="U153" s="7"/>
      <c r="V153" s="7"/>
      <c r="W153" s="7"/>
      <c r="X153" s="8"/>
      <c r="Y153" s="7"/>
      <c r="Z153" s="8" t="str">
        <f aca="false">IF(S153="","",S153-N(X153))</f>
        <v/>
      </c>
      <c r="AA153" s="7"/>
    </row>
    <row r="154" customFormat="false" ht="15" hidden="false" customHeight="fals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8"/>
      <c r="Q154" s="8"/>
      <c r="R154" s="7"/>
      <c r="S154" s="8"/>
      <c r="T154" s="8"/>
      <c r="U154" s="7"/>
      <c r="V154" s="7"/>
      <c r="W154" s="7"/>
      <c r="X154" s="8"/>
      <c r="Y154" s="7"/>
      <c r="Z154" s="8" t="str">
        <f aca="false">IF(S154="","",S154-N(X154))</f>
        <v/>
      </c>
      <c r="AA154" s="7"/>
    </row>
    <row r="155" customFormat="false" ht="15" hidden="false" customHeight="fals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8"/>
      <c r="Q155" s="8"/>
      <c r="R155" s="7"/>
      <c r="S155" s="8"/>
      <c r="T155" s="8"/>
      <c r="U155" s="7"/>
      <c r="V155" s="7"/>
      <c r="W155" s="7"/>
      <c r="X155" s="8"/>
      <c r="Y155" s="7"/>
      <c r="Z155" s="8" t="str">
        <f aca="false">IF(S155="","",S155-N(X155))</f>
        <v/>
      </c>
      <c r="AA155" s="7"/>
    </row>
    <row r="156" customFormat="false" ht="15" hidden="false" customHeight="fals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8"/>
      <c r="Q156" s="8"/>
      <c r="R156" s="7"/>
      <c r="S156" s="8"/>
      <c r="T156" s="8"/>
      <c r="U156" s="7"/>
      <c r="V156" s="7"/>
      <c r="W156" s="7"/>
      <c r="X156" s="8"/>
      <c r="Y156" s="7"/>
      <c r="Z156" s="8" t="str">
        <f aca="false">IF(S156="","",S156-N(X156))</f>
        <v/>
      </c>
      <c r="AA156" s="7"/>
    </row>
    <row r="157" customFormat="false" ht="15" hidden="false" customHeight="fals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8"/>
      <c r="Q157" s="8"/>
      <c r="R157" s="7"/>
      <c r="S157" s="8"/>
      <c r="T157" s="8"/>
      <c r="U157" s="7"/>
      <c r="V157" s="7"/>
      <c r="W157" s="7"/>
      <c r="X157" s="8"/>
      <c r="Y157" s="7"/>
      <c r="Z157" s="8" t="str">
        <f aca="false">IF(S157="","",S157-N(X157))</f>
        <v/>
      </c>
      <c r="AA157" s="7"/>
    </row>
    <row r="158" customFormat="false" ht="15" hidden="false" customHeight="fals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8"/>
      <c r="Q158" s="8"/>
      <c r="R158" s="7"/>
      <c r="S158" s="8"/>
      <c r="T158" s="8"/>
      <c r="U158" s="7"/>
      <c r="V158" s="7"/>
      <c r="W158" s="7"/>
      <c r="X158" s="8"/>
      <c r="Y158" s="7"/>
      <c r="Z158" s="8" t="str">
        <f aca="false">IF(S158="","",S158-N(X158))</f>
        <v/>
      </c>
      <c r="AA158" s="7"/>
    </row>
    <row r="159" customFormat="false" ht="15" hidden="false" customHeight="fals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8"/>
      <c r="Q159" s="8"/>
      <c r="R159" s="7"/>
      <c r="S159" s="8"/>
      <c r="T159" s="8"/>
      <c r="U159" s="7"/>
      <c r="V159" s="7"/>
      <c r="W159" s="7"/>
      <c r="X159" s="8"/>
      <c r="Y159" s="7"/>
      <c r="Z159" s="8" t="str">
        <f aca="false">IF(S159="","",S159-N(X159))</f>
        <v/>
      </c>
      <c r="AA159" s="7"/>
    </row>
    <row r="160" customFormat="false" ht="15" hidden="false" customHeight="fals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8"/>
      <c r="Q160" s="8"/>
      <c r="R160" s="7"/>
      <c r="S160" s="8"/>
      <c r="T160" s="8"/>
      <c r="U160" s="7"/>
      <c r="V160" s="7"/>
      <c r="W160" s="7"/>
      <c r="X160" s="8"/>
      <c r="Y160" s="7"/>
      <c r="Z160" s="8" t="str">
        <f aca="false">IF(S160="","",S160-N(X160))</f>
        <v/>
      </c>
      <c r="AA160" s="7"/>
    </row>
    <row r="161" customFormat="false" ht="15" hidden="false" customHeight="fals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8"/>
      <c r="Q161" s="8"/>
      <c r="R161" s="7"/>
      <c r="S161" s="8"/>
      <c r="T161" s="8"/>
      <c r="U161" s="7"/>
      <c r="V161" s="7"/>
      <c r="W161" s="7"/>
      <c r="X161" s="8"/>
      <c r="Y161" s="7"/>
      <c r="Z161" s="8" t="str">
        <f aca="false">IF(S161="","",S161-N(X161))</f>
        <v/>
      </c>
      <c r="AA161" s="7"/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8"/>
      <c r="Q162" s="8"/>
      <c r="R162" s="7"/>
      <c r="S162" s="8"/>
      <c r="T162" s="8"/>
      <c r="U162" s="7"/>
      <c r="V162" s="7"/>
      <c r="W162" s="7"/>
      <c r="X162" s="8"/>
      <c r="Y162" s="7"/>
      <c r="Z162" s="8" t="str">
        <f aca="false">IF(S162="","",S162-N(X162))</f>
        <v/>
      </c>
      <c r="AA162" s="7"/>
    </row>
    <row r="163" customFormat="false" ht="15" hidden="false" customHeight="fals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8"/>
      <c r="Q163" s="8"/>
      <c r="R163" s="7"/>
      <c r="S163" s="8"/>
      <c r="T163" s="8"/>
      <c r="U163" s="7"/>
      <c r="V163" s="7"/>
      <c r="W163" s="7"/>
      <c r="X163" s="8"/>
      <c r="Y163" s="7"/>
      <c r="Z163" s="8" t="str">
        <f aca="false">IF(S163="","",S163-N(X163))</f>
        <v/>
      </c>
      <c r="AA163" s="7"/>
    </row>
    <row r="164" customFormat="false" ht="15" hidden="false" customHeight="fals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8"/>
      <c r="Q164" s="8"/>
      <c r="R164" s="7"/>
      <c r="S164" s="8"/>
      <c r="T164" s="8"/>
      <c r="U164" s="7"/>
      <c r="V164" s="7"/>
      <c r="W164" s="7"/>
      <c r="X164" s="8"/>
      <c r="Y164" s="7"/>
      <c r="Z164" s="8" t="str">
        <f aca="false">IF(S164="","",S164-N(X164))</f>
        <v/>
      </c>
      <c r="AA164" s="7"/>
    </row>
    <row r="165" customFormat="false" ht="15" hidden="false" customHeight="fals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8"/>
      <c r="Q165" s="8"/>
      <c r="R165" s="7"/>
      <c r="S165" s="8"/>
      <c r="T165" s="8"/>
      <c r="U165" s="7"/>
      <c r="V165" s="7"/>
      <c r="W165" s="7"/>
      <c r="X165" s="8"/>
      <c r="Y165" s="7"/>
      <c r="Z165" s="8" t="str">
        <f aca="false">IF(S165="","",S165-N(X165))</f>
        <v/>
      </c>
      <c r="AA165" s="7"/>
    </row>
    <row r="166" customFormat="false" ht="15" hidden="false" customHeight="fals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8"/>
      <c r="Q166" s="8"/>
      <c r="R166" s="7"/>
      <c r="S166" s="8"/>
      <c r="T166" s="8"/>
      <c r="U166" s="7"/>
      <c r="V166" s="7"/>
      <c r="W166" s="7"/>
      <c r="X166" s="8"/>
      <c r="Y166" s="7"/>
      <c r="Z166" s="8" t="str">
        <f aca="false">IF(S166="","",S166-N(X166))</f>
        <v/>
      </c>
      <c r="AA166" s="7"/>
    </row>
    <row r="167" customFormat="false" ht="15" hidden="false" customHeight="fals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8"/>
      <c r="Q167" s="8"/>
      <c r="R167" s="7"/>
      <c r="S167" s="8"/>
      <c r="T167" s="8"/>
      <c r="U167" s="7"/>
      <c r="V167" s="7"/>
      <c r="W167" s="7"/>
      <c r="X167" s="8"/>
      <c r="Y167" s="7"/>
      <c r="Z167" s="8" t="str">
        <f aca="false">IF(S167="","",S167-N(X167))</f>
        <v/>
      </c>
      <c r="AA167" s="7"/>
    </row>
    <row r="168" customFormat="false" ht="15" hidden="false" customHeight="fals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8"/>
      <c r="Q168" s="8"/>
      <c r="R168" s="7"/>
      <c r="S168" s="8"/>
      <c r="T168" s="8"/>
      <c r="U168" s="7"/>
      <c r="V168" s="7"/>
      <c r="W168" s="7"/>
      <c r="X168" s="8"/>
      <c r="Y168" s="7"/>
      <c r="Z168" s="8" t="str">
        <f aca="false">IF(S168="","",S168-N(X168))</f>
        <v/>
      </c>
      <c r="AA168" s="7"/>
    </row>
    <row r="169" customFormat="false" ht="15" hidden="false" customHeight="fals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8"/>
      <c r="Q169" s="8"/>
      <c r="R169" s="7"/>
      <c r="S169" s="8"/>
      <c r="T169" s="8"/>
      <c r="U169" s="7"/>
      <c r="V169" s="7"/>
      <c r="W169" s="7"/>
      <c r="X169" s="8"/>
      <c r="Y169" s="7"/>
      <c r="Z169" s="8" t="str">
        <f aca="false">IF(S169="","",S169-N(X169))</f>
        <v/>
      </c>
      <c r="AA169" s="7"/>
    </row>
    <row r="170" customFormat="false" ht="15" hidden="false" customHeight="fals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8"/>
      <c r="Q170" s="8"/>
      <c r="R170" s="7"/>
      <c r="S170" s="8"/>
      <c r="T170" s="8"/>
      <c r="U170" s="7"/>
      <c r="V170" s="7"/>
      <c r="W170" s="7"/>
      <c r="X170" s="8"/>
      <c r="Y170" s="7"/>
      <c r="Z170" s="8" t="str">
        <f aca="false">IF(S170="","",S170-N(X170))</f>
        <v/>
      </c>
      <c r="AA170" s="7"/>
    </row>
    <row r="171" customFormat="false" ht="15" hidden="false" customHeight="fals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8"/>
      <c r="Q171" s="8"/>
      <c r="R171" s="7"/>
      <c r="S171" s="8"/>
      <c r="T171" s="8"/>
      <c r="U171" s="7"/>
      <c r="V171" s="7"/>
      <c r="W171" s="7"/>
      <c r="X171" s="8"/>
      <c r="Y171" s="7"/>
      <c r="Z171" s="8" t="str">
        <f aca="false">IF(S171="","",S171-N(X171))</f>
        <v/>
      </c>
      <c r="AA171" s="7"/>
    </row>
    <row r="172" customFormat="false" ht="15" hidden="false" customHeight="fals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8"/>
      <c r="Q172" s="8"/>
      <c r="R172" s="7"/>
      <c r="S172" s="8"/>
      <c r="T172" s="8"/>
      <c r="U172" s="7"/>
      <c r="V172" s="7"/>
      <c r="W172" s="7"/>
      <c r="X172" s="8"/>
      <c r="Y172" s="7"/>
      <c r="Z172" s="8" t="str">
        <f aca="false">IF(S172="","",S172-N(X172))</f>
        <v/>
      </c>
      <c r="AA172" s="7"/>
    </row>
    <row r="173" customFormat="false" ht="15" hidden="false" customHeight="fals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8"/>
      <c r="Q173" s="8"/>
      <c r="R173" s="7"/>
      <c r="S173" s="8"/>
      <c r="T173" s="8"/>
      <c r="U173" s="7"/>
      <c r="V173" s="7"/>
      <c r="W173" s="7"/>
      <c r="X173" s="8"/>
      <c r="Y173" s="7"/>
      <c r="Z173" s="8" t="str">
        <f aca="false">IF(S173="","",S173-N(X173))</f>
        <v/>
      </c>
      <c r="AA173" s="7"/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8"/>
      <c r="Q174" s="8"/>
      <c r="R174" s="7"/>
      <c r="S174" s="8"/>
      <c r="T174" s="8"/>
      <c r="U174" s="7"/>
      <c r="V174" s="7"/>
      <c r="W174" s="7"/>
      <c r="X174" s="8"/>
      <c r="Y174" s="7"/>
      <c r="Z174" s="8" t="str">
        <f aca="false">IF(S174="","",S174-N(X174))</f>
        <v/>
      </c>
      <c r="AA174" s="7"/>
    </row>
    <row r="175" customFormat="false" ht="15" hidden="false" customHeight="fals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8"/>
      <c r="Q175" s="8"/>
      <c r="R175" s="7"/>
      <c r="S175" s="8"/>
      <c r="T175" s="8"/>
      <c r="U175" s="7"/>
      <c r="V175" s="7"/>
      <c r="W175" s="7"/>
      <c r="X175" s="8"/>
      <c r="Y175" s="7"/>
      <c r="Z175" s="8" t="str">
        <f aca="false">IF(S175="","",S175-N(X175))</f>
        <v/>
      </c>
      <c r="AA175" s="7"/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8"/>
      <c r="Q176" s="8"/>
      <c r="R176" s="7"/>
      <c r="S176" s="8"/>
      <c r="T176" s="8"/>
      <c r="U176" s="7"/>
      <c r="V176" s="7"/>
      <c r="W176" s="7"/>
      <c r="X176" s="8"/>
      <c r="Y176" s="7"/>
      <c r="Z176" s="8" t="str">
        <f aca="false">IF(S176="","",S176-N(X176))</f>
        <v/>
      </c>
      <c r="AA176" s="7"/>
    </row>
    <row r="177" customFormat="false" ht="15" hidden="false" customHeight="fals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8"/>
      <c r="Q177" s="8"/>
      <c r="R177" s="7"/>
      <c r="S177" s="8"/>
      <c r="T177" s="8"/>
      <c r="U177" s="7"/>
      <c r="V177" s="7"/>
      <c r="W177" s="7"/>
      <c r="X177" s="8"/>
      <c r="Y177" s="7"/>
      <c r="Z177" s="8" t="str">
        <f aca="false">IF(S177="","",S177-N(X177))</f>
        <v/>
      </c>
      <c r="AA177" s="7"/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8"/>
      <c r="Q178" s="8"/>
      <c r="R178" s="7"/>
      <c r="S178" s="8"/>
      <c r="T178" s="8"/>
      <c r="U178" s="7"/>
      <c r="V178" s="7"/>
      <c r="W178" s="7"/>
      <c r="X178" s="8"/>
      <c r="Y178" s="7"/>
      <c r="Z178" s="8" t="str">
        <f aca="false">IF(S178="","",S178-N(X178))</f>
        <v/>
      </c>
      <c r="AA178" s="7"/>
    </row>
    <row r="179" customFormat="false" ht="15" hidden="false" customHeight="fals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8"/>
      <c r="Q179" s="8"/>
      <c r="R179" s="7"/>
      <c r="S179" s="8"/>
      <c r="T179" s="8"/>
      <c r="U179" s="7"/>
      <c r="V179" s="7"/>
      <c r="W179" s="7"/>
      <c r="X179" s="8"/>
      <c r="Y179" s="7"/>
      <c r="Z179" s="8" t="str">
        <f aca="false">IF(S179="","",S179-N(X179))</f>
        <v/>
      </c>
      <c r="AA179" s="7"/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8"/>
      <c r="Q180" s="8"/>
      <c r="R180" s="7"/>
      <c r="S180" s="8"/>
      <c r="T180" s="8"/>
      <c r="U180" s="7"/>
      <c r="V180" s="7"/>
      <c r="W180" s="7"/>
      <c r="X180" s="8"/>
      <c r="Y180" s="7"/>
      <c r="Z180" s="8" t="str">
        <f aca="false">IF(S180="","",S180-N(X180))</f>
        <v/>
      </c>
      <c r="AA180" s="7"/>
    </row>
    <row r="181" customFormat="false" ht="15" hidden="false" customHeight="fals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8"/>
      <c r="Q181" s="8"/>
      <c r="R181" s="7"/>
      <c r="S181" s="8"/>
      <c r="T181" s="8"/>
      <c r="U181" s="7"/>
      <c r="V181" s="7"/>
      <c r="W181" s="7"/>
      <c r="X181" s="8"/>
      <c r="Y181" s="7"/>
      <c r="Z181" s="8" t="str">
        <f aca="false">IF(S181="","",S181-N(X181))</f>
        <v/>
      </c>
      <c r="AA181" s="7"/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8"/>
      <c r="Q182" s="8"/>
      <c r="R182" s="7"/>
      <c r="S182" s="8"/>
      <c r="T182" s="8"/>
      <c r="U182" s="7"/>
      <c r="V182" s="7"/>
      <c r="W182" s="7"/>
      <c r="X182" s="8"/>
      <c r="Y182" s="7"/>
      <c r="Z182" s="8" t="str">
        <f aca="false">IF(S182="","",S182-N(X182))</f>
        <v/>
      </c>
      <c r="AA182" s="7"/>
    </row>
    <row r="183" customFormat="false" ht="15" hidden="false" customHeight="fals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8"/>
      <c r="Q183" s="8"/>
      <c r="R183" s="7"/>
      <c r="S183" s="8"/>
      <c r="T183" s="8"/>
      <c r="U183" s="7"/>
      <c r="V183" s="7"/>
      <c r="W183" s="7"/>
      <c r="X183" s="8"/>
      <c r="Y183" s="7"/>
      <c r="Z183" s="8" t="str">
        <f aca="false">IF(S183="","",S183-N(X183))</f>
        <v/>
      </c>
      <c r="AA183" s="7"/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8"/>
      <c r="Q184" s="8"/>
      <c r="R184" s="7"/>
      <c r="S184" s="8"/>
      <c r="T184" s="8"/>
      <c r="U184" s="7"/>
      <c r="V184" s="7"/>
      <c r="W184" s="7"/>
      <c r="X184" s="8"/>
      <c r="Y184" s="7"/>
      <c r="Z184" s="8" t="str">
        <f aca="false">IF(S184="","",S184-N(X184))</f>
        <v/>
      </c>
      <c r="AA184" s="7"/>
    </row>
    <row r="185" customFormat="false" ht="15" hidden="false" customHeight="fals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8"/>
      <c r="Q185" s="8"/>
      <c r="R185" s="7"/>
      <c r="S185" s="8"/>
      <c r="T185" s="8"/>
      <c r="U185" s="7"/>
      <c r="V185" s="7"/>
      <c r="W185" s="7"/>
      <c r="X185" s="8"/>
      <c r="Y185" s="7"/>
      <c r="Z185" s="8" t="str">
        <f aca="false">IF(S185="","",S185-N(X185))</f>
        <v/>
      </c>
      <c r="AA185" s="7"/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8"/>
      <c r="Q186" s="8"/>
      <c r="R186" s="7"/>
      <c r="S186" s="8"/>
      <c r="T186" s="8"/>
      <c r="U186" s="7"/>
      <c r="V186" s="7"/>
      <c r="W186" s="7"/>
      <c r="X186" s="8"/>
      <c r="Y186" s="7"/>
      <c r="Z186" s="8" t="str">
        <f aca="false">IF(S186="","",S186-N(X186))</f>
        <v/>
      </c>
      <c r="AA186" s="7"/>
    </row>
    <row r="187" customFormat="false" ht="15" hidden="false" customHeight="fals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8"/>
      <c r="Q187" s="8"/>
      <c r="R187" s="7"/>
      <c r="S187" s="8"/>
      <c r="T187" s="8"/>
      <c r="U187" s="7"/>
      <c r="V187" s="7"/>
      <c r="W187" s="7"/>
      <c r="X187" s="8"/>
      <c r="Y187" s="7"/>
      <c r="Z187" s="8" t="str">
        <f aca="false">IF(S187="","",S187-N(X187))</f>
        <v/>
      </c>
      <c r="AA187" s="7"/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8"/>
      <c r="Q188" s="8"/>
      <c r="R188" s="7"/>
      <c r="S188" s="8"/>
      <c r="T188" s="8"/>
      <c r="U188" s="7"/>
      <c r="V188" s="7"/>
      <c r="W188" s="7"/>
      <c r="X188" s="8"/>
      <c r="Y188" s="7"/>
      <c r="Z188" s="8" t="str">
        <f aca="false">IF(S188="","",S188-N(X188))</f>
        <v/>
      </c>
      <c r="AA188" s="7"/>
    </row>
    <row r="189" customFormat="false" ht="15" hidden="false" customHeight="fals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8"/>
      <c r="Q189" s="8"/>
      <c r="R189" s="7"/>
      <c r="S189" s="8"/>
      <c r="T189" s="8"/>
      <c r="U189" s="7"/>
      <c r="V189" s="7"/>
      <c r="W189" s="7"/>
      <c r="X189" s="8"/>
      <c r="Y189" s="7"/>
      <c r="Z189" s="8" t="str">
        <f aca="false">IF(S189="","",S189-N(X189))</f>
        <v/>
      </c>
      <c r="AA189" s="7"/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8"/>
      <c r="Q190" s="8"/>
      <c r="R190" s="7"/>
      <c r="S190" s="8"/>
      <c r="T190" s="8"/>
      <c r="U190" s="7"/>
      <c r="V190" s="7"/>
      <c r="W190" s="7"/>
      <c r="X190" s="8"/>
      <c r="Y190" s="7"/>
      <c r="Z190" s="8" t="str">
        <f aca="false">IF(S190="","",S190-N(X190))</f>
        <v/>
      </c>
      <c r="AA190" s="7"/>
    </row>
    <row r="191" customFormat="false" ht="15" hidden="false" customHeight="fals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8"/>
      <c r="Q191" s="8"/>
      <c r="R191" s="7"/>
      <c r="S191" s="8"/>
      <c r="T191" s="8"/>
      <c r="U191" s="7"/>
      <c r="V191" s="7"/>
      <c r="W191" s="7"/>
      <c r="X191" s="8"/>
      <c r="Y191" s="7"/>
      <c r="Z191" s="8" t="str">
        <f aca="false">IF(S191="","",S191-N(X191))</f>
        <v/>
      </c>
      <c r="AA191" s="7"/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8"/>
      <c r="Q192" s="8"/>
      <c r="R192" s="7"/>
      <c r="S192" s="8"/>
      <c r="T192" s="8"/>
      <c r="U192" s="7"/>
      <c r="V192" s="7"/>
      <c r="W192" s="7"/>
      <c r="X192" s="8"/>
      <c r="Y192" s="7"/>
      <c r="Z192" s="8" t="str">
        <f aca="false">IF(S192="","",S192-N(X192))</f>
        <v/>
      </c>
      <c r="AA192" s="7"/>
    </row>
    <row r="193" customFormat="false" ht="15" hidden="false" customHeight="fals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8"/>
      <c r="Q193" s="8"/>
      <c r="R193" s="7"/>
      <c r="S193" s="8"/>
      <c r="T193" s="8"/>
      <c r="U193" s="7"/>
      <c r="V193" s="7"/>
      <c r="W193" s="7"/>
      <c r="X193" s="8"/>
      <c r="Y193" s="7"/>
      <c r="Z193" s="8" t="str">
        <f aca="false">IF(S193="","",S193-N(X193))</f>
        <v/>
      </c>
      <c r="AA193" s="7"/>
    </row>
    <row r="194" customFormat="false" ht="15" hidden="false" customHeight="fals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8"/>
      <c r="Q194" s="8"/>
      <c r="R194" s="7"/>
      <c r="S194" s="8"/>
      <c r="T194" s="8"/>
      <c r="U194" s="7"/>
      <c r="V194" s="7"/>
      <c r="W194" s="7"/>
      <c r="X194" s="8"/>
      <c r="Y194" s="7"/>
      <c r="Z194" s="8" t="str">
        <f aca="false">IF(S194="","",S194-N(X194))</f>
        <v/>
      </c>
      <c r="AA194" s="7"/>
    </row>
    <row r="195" customFormat="false" ht="15" hidden="false" customHeight="fals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8"/>
      <c r="Q195" s="8"/>
      <c r="R195" s="7"/>
      <c r="S195" s="8"/>
      <c r="T195" s="8"/>
      <c r="U195" s="7"/>
      <c r="V195" s="7"/>
      <c r="W195" s="7"/>
      <c r="X195" s="8"/>
      <c r="Y195" s="7"/>
      <c r="Z195" s="8" t="str">
        <f aca="false">IF(S195="","",S195-N(X195))</f>
        <v/>
      </c>
      <c r="AA195" s="7"/>
    </row>
    <row r="196" customFormat="false" ht="15" hidden="false" customHeight="fals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8"/>
      <c r="Q196" s="8"/>
      <c r="R196" s="7"/>
      <c r="S196" s="8"/>
      <c r="T196" s="8"/>
      <c r="U196" s="7"/>
      <c r="V196" s="7"/>
      <c r="W196" s="7"/>
      <c r="X196" s="8"/>
      <c r="Y196" s="7"/>
      <c r="Z196" s="8" t="str">
        <f aca="false">IF(S196="","",S196-N(X196))</f>
        <v/>
      </c>
      <c r="AA196" s="7"/>
    </row>
    <row r="197" customFormat="false" ht="15" hidden="false" customHeight="fals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8"/>
      <c r="Q197" s="8"/>
      <c r="R197" s="7"/>
      <c r="S197" s="8"/>
      <c r="T197" s="8"/>
      <c r="U197" s="7"/>
      <c r="V197" s="7"/>
      <c r="W197" s="7"/>
      <c r="X197" s="8"/>
      <c r="Y197" s="7"/>
      <c r="Z197" s="8" t="str">
        <f aca="false">IF(S197="","",S197-N(X197))</f>
        <v/>
      </c>
      <c r="AA197" s="7"/>
    </row>
    <row r="198" customFormat="false" ht="15" hidden="false" customHeight="fals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8"/>
      <c r="Q198" s="8"/>
      <c r="R198" s="7"/>
      <c r="S198" s="8"/>
      <c r="T198" s="8"/>
      <c r="U198" s="7"/>
      <c r="V198" s="7"/>
      <c r="W198" s="7"/>
      <c r="X198" s="8"/>
      <c r="Y198" s="7"/>
      <c r="Z198" s="8" t="str">
        <f aca="false">IF(S198="","",S198-N(X198))</f>
        <v/>
      </c>
      <c r="AA198" s="7"/>
    </row>
    <row r="199" customFormat="false" ht="15" hidden="false" customHeight="fals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8"/>
      <c r="Q199" s="8"/>
      <c r="R199" s="7"/>
      <c r="S199" s="8"/>
      <c r="T199" s="8"/>
      <c r="U199" s="7"/>
      <c r="V199" s="7"/>
      <c r="W199" s="7"/>
      <c r="X199" s="8"/>
      <c r="Y199" s="7"/>
      <c r="Z199" s="8" t="str">
        <f aca="false">IF(S199="","",S199-N(X199))</f>
        <v/>
      </c>
      <c r="AA199" s="7"/>
    </row>
    <row r="200" customFormat="false" ht="15" hidden="false" customHeight="fals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8"/>
      <c r="Q200" s="8"/>
      <c r="R200" s="7"/>
      <c r="S200" s="8"/>
      <c r="T200" s="8"/>
      <c r="U200" s="7"/>
      <c r="V200" s="7"/>
      <c r="W200" s="7"/>
      <c r="X200" s="8"/>
      <c r="Y200" s="7"/>
      <c r="Z200" s="8" t="str">
        <f aca="false">IF(S200="","",S200-N(X200))</f>
        <v/>
      </c>
      <c r="AA200" s="7"/>
    </row>
    <row r="201" customFormat="false" ht="15" hidden="false" customHeight="fals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8"/>
      <c r="Q201" s="8"/>
      <c r="R201" s="7"/>
      <c r="S201" s="8"/>
      <c r="T201" s="8"/>
      <c r="U201" s="7"/>
      <c r="V201" s="7"/>
      <c r="W201" s="7"/>
      <c r="X201" s="8"/>
      <c r="Y201" s="7"/>
      <c r="Z201" s="8" t="str">
        <f aca="false">IF(S201="","",S201-N(X201))</f>
        <v/>
      </c>
      <c r="AA201" s="7"/>
    </row>
    <row r="202" customFormat="false" ht="15" hidden="false" customHeight="fals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8"/>
      <c r="Q202" s="8"/>
      <c r="R202" s="7"/>
      <c r="S202" s="8"/>
      <c r="T202" s="8"/>
      <c r="U202" s="7"/>
      <c r="V202" s="7"/>
      <c r="W202" s="7"/>
      <c r="X202" s="8"/>
      <c r="Y202" s="7"/>
      <c r="Z202" s="8" t="str">
        <f aca="false">IF(S202="","",S202-N(X202))</f>
        <v/>
      </c>
      <c r="AA202" s="7"/>
    </row>
    <row r="203" customFormat="false" ht="15" hidden="false" customHeight="fals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8"/>
      <c r="Q203" s="8"/>
      <c r="R203" s="7"/>
      <c r="S203" s="8"/>
      <c r="T203" s="8"/>
      <c r="U203" s="7"/>
      <c r="V203" s="7"/>
      <c r="W203" s="7"/>
      <c r="X203" s="8"/>
      <c r="Y203" s="7"/>
      <c r="Z203" s="8" t="str">
        <f aca="false">IF(S203="","",S203-N(X203))</f>
        <v/>
      </c>
      <c r="AA203" s="7"/>
    </row>
    <row r="204" customFormat="false" ht="15" hidden="false" customHeight="fals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8"/>
      <c r="Q204" s="8"/>
      <c r="R204" s="7"/>
      <c r="S204" s="8"/>
      <c r="T204" s="8"/>
      <c r="U204" s="7"/>
      <c r="V204" s="7"/>
      <c r="W204" s="7"/>
      <c r="X204" s="8"/>
      <c r="Y204" s="7"/>
      <c r="Z204" s="8" t="str">
        <f aca="false">IF(S204="","",S204-N(X204))</f>
        <v/>
      </c>
      <c r="AA204" s="7"/>
    </row>
    <row r="205" customFormat="false" ht="15" hidden="false" customHeight="fals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8"/>
      <c r="Q205" s="8"/>
      <c r="R205" s="7"/>
      <c r="S205" s="8"/>
      <c r="T205" s="8"/>
      <c r="U205" s="7"/>
      <c r="V205" s="7"/>
      <c r="W205" s="7"/>
      <c r="X205" s="8"/>
      <c r="Y205" s="7"/>
      <c r="Z205" s="8" t="str">
        <f aca="false">IF(S205="","",S205-N(X205))</f>
        <v/>
      </c>
      <c r="AA205" s="7"/>
    </row>
    <row r="206" customFormat="false" ht="15" hidden="false" customHeight="fals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8"/>
      <c r="Q206" s="8"/>
      <c r="R206" s="7"/>
      <c r="S206" s="8"/>
      <c r="T206" s="8"/>
      <c r="U206" s="7"/>
      <c r="V206" s="7"/>
      <c r="W206" s="7"/>
      <c r="X206" s="8"/>
      <c r="Y206" s="7"/>
      <c r="Z206" s="8" t="str">
        <f aca="false">IF(S206="","",S206-N(X206))</f>
        <v/>
      </c>
      <c r="AA206" s="7"/>
    </row>
    <row r="207" customFormat="false" ht="15" hidden="false" customHeight="false" outlineLevel="0" collapsed="false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8"/>
      <c r="Q207" s="8"/>
      <c r="R207" s="7"/>
      <c r="S207" s="8"/>
      <c r="T207" s="8"/>
      <c r="U207" s="7"/>
      <c r="V207" s="7"/>
      <c r="W207" s="7"/>
      <c r="X207" s="8"/>
      <c r="Y207" s="7"/>
      <c r="Z207" s="8" t="str">
        <f aca="false">IF(S207="","",S207-N(X207))</f>
        <v/>
      </c>
      <c r="AA207" s="7"/>
    </row>
    <row r="208" customFormat="false" ht="15" hidden="false" customHeight="false" outlineLevel="0" collapsed="false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8"/>
      <c r="Q208" s="8"/>
      <c r="R208" s="7"/>
      <c r="S208" s="8"/>
      <c r="T208" s="8"/>
      <c r="U208" s="7"/>
      <c r="V208" s="7"/>
      <c r="W208" s="7"/>
      <c r="X208" s="8"/>
      <c r="Y208" s="7"/>
      <c r="Z208" s="8" t="str">
        <f aca="false">IF(S208="","",S208-N(X208))</f>
        <v/>
      </c>
      <c r="AA208" s="7"/>
    </row>
    <row r="209" customFormat="false" ht="15" hidden="false" customHeight="false" outlineLevel="0" collapsed="false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8"/>
      <c r="Q209" s="8"/>
      <c r="R209" s="7"/>
      <c r="S209" s="8"/>
      <c r="T209" s="8"/>
      <c r="U209" s="7"/>
      <c r="V209" s="7"/>
      <c r="W209" s="7"/>
      <c r="X209" s="8"/>
      <c r="Y209" s="7"/>
      <c r="Z209" s="8" t="str">
        <f aca="false">IF(S209="","",S209-N(X209))</f>
        <v/>
      </c>
      <c r="AA209" s="7"/>
    </row>
    <row r="210" customFormat="false" ht="15" hidden="false" customHeight="false" outlineLevel="0" collapsed="false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8"/>
      <c r="Q210" s="8"/>
      <c r="R210" s="7"/>
      <c r="S210" s="8"/>
      <c r="T210" s="8"/>
      <c r="U210" s="7"/>
      <c r="V210" s="7"/>
      <c r="W210" s="7"/>
      <c r="X210" s="8"/>
      <c r="Y210" s="7"/>
      <c r="Z210" s="8" t="str">
        <f aca="false">IF(S210="","",S210-N(X210))</f>
        <v/>
      </c>
      <c r="AA210" s="7"/>
    </row>
    <row r="211" customFormat="false" ht="15" hidden="false" customHeight="fals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8"/>
      <c r="Q211" s="8"/>
      <c r="R211" s="7"/>
      <c r="S211" s="8"/>
      <c r="T211" s="8"/>
      <c r="U211" s="7"/>
      <c r="V211" s="7"/>
      <c r="W211" s="7"/>
      <c r="X211" s="8"/>
      <c r="Y211" s="7"/>
      <c r="Z211" s="8" t="str">
        <f aca="false">IF(S211="","",S211-N(X211))</f>
        <v/>
      </c>
      <c r="AA211" s="7"/>
    </row>
    <row r="212" customFormat="false" ht="15" hidden="false" customHeight="fals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8"/>
      <c r="Q212" s="8"/>
      <c r="R212" s="7"/>
      <c r="S212" s="8"/>
      <c r="T212" s="8"/>
      <c r="U212" s="7"/>
      <c r="V212" s="7"/>
      <c r="W212" s="7"/>
      <c r="X212" s="8"/>
      <c r="Y212" s="7"/>
      <c r="Z212" s="8" t="str">
        <f aca="false">IF(S212="","",S212-N(X212))</f>
        <v/>
      </c>
      <c r="AA212" s="7"/>
    </row>
    <row r="213" customFormat="false" ht="15" hidden="false" customHeight="fals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8"/>
      <c r="Q213" s="8"/>
      <c r="R213" s="7"/>
      <c r="S213" s="8"/>
      <c r="T213" s="8"/>
      <c r="U213" s="7"/>
      <c r="V213" s="7"/>
      <c r="W213" s="7"/>
      <c r="X213" s="8"/>
      <c r="Y213" s="7"/>
      <c r="Z213" s="8" t="str">
        <f aca="false">IF(S213="","",S213-N(X213))</f>
        <v/>
      </c>
      <c r="AA213" s="7"/>
    </row>
    <row r="214" customFormat="false" ht="15" hidden="false" customHeight="fals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8"/>
      <c r="Q214" s="8"/>
      <c r="R214" s="7"/>
      <c r="S214" s="8"/>
      <c r="T214" s="8"/>
      <c r="U214" s="7"/>
      <c r="V214" s="7"/>
      <c r="W214" s="7"/>
      <c r="X214" s="8"/>
      <c r="Y214" s="7"/>
      <c r="Z214" s="8" t="str">
        <f aca="false">IF(S214="","",S214-N(X214))</f>
        <v/>
      </c>
      <c r="AA214" s="7"/>
    </row>
    <row r="215" customFormat="false" ht="15" hidden="false" customHeight="false" outlineLevel="0" collapsed="false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8"/>
      <c r="Q215" s="8"/>
      <c r="R215" s="7"/>
      <c r="S215" s="8"/>
      <c r="T215" s="8"/>
      <c r="U215" s="7"/>
      <c r="V215" s="7"/>
      <c r="W215" s="7"/>
      <c r="X215" s="8"/>
      <c r="Y215" s="7"/>
      <c r="Z215" s="8" t="str">
        <f aca="false">IF(S215="","",S215-N(X215))</f>
        <v/>
      </c>
      <c r="AA215" s="7"/>
    </row>
    <row r="216" customFormat="false" ht="15" hidden="false" customHeight="false" outlineLevel="0" collapsed="false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8"/>
      <c r="Q216" s="8"/>
      <c r="R216" s="7"/>
      <c r="S216" s="8"/>
      <c r="T216" s="8"/>
      <c r="U216" s="7"/>
      <c r="V216" s="7"/>
      <c r="W216" s="7"/>
      <c r="X216" s="8"/>
      <c r="Y216" s="7"/>
      <c r="Z216" s="8" t="str">
        <f aca="false">IF(S216="","",S216-N(X216))</f>
        <v/>
      </c>
      <c r="AA216" s="7"/>
    </row>
    <row r="217" customFormat="false" ht="15" hidden="false" customHeight="false" outlineLevel="0" collapsed="false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8"/>
      <c r="Q217" s="8"/>
      <c r="R217" s="7"/>
      <c r="S217" s="8"/>
      <c r="T217" s="8"/>
      <c r="U217" s="7"/>
      <c r="V217" s="7"/>
      <c r="W217" s="7"/>
      <c r="X217" s="8"/>
      <c r="Y217" s="7"/>
      <c r="Z217" s="8" t="str">
        <f aca="false">IF(S217="","",S217-N(X217))</f>
        <v/>
      </c>
      <c r="AA217" s="7"/>
    </row>
    <row r="218" customFormat="false" ht="15" hidden="false" customHeight="false" outlineLevel="0" collapsed="false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8"/>
      <c r="Q218" s="8"/>
      <c r="R218" s="7"/>
      <c r="S218" s="8"/>
      <c r="T218" s="8"/>
      <c r="U218" s="7"/>
      <c r="V218" s="7"/>
      <c r="W218" s="7"/>
      <c r="X218" s="8"/>
      <c r="Y218" s="7"/>
      <c r="Z218" s="8" t="str">
        <f aca="false">IF(S218="","",S218-N(X218))</f>
        <v/>
      </c>
      <c r="AA218" s="7"/>
    </row>
    <row r="219" customFormat="false" ht="15" hidden="false" customHeight="false" outlineLevel="0" collapsed="false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8"/>
      <c r="Q219" s="8"/>
      <c r="R219" s="7"/>
      <c r="S219" s="8"/>
      <c r="T219" s="8"/>
      <c r="U219" s="7"/>
      <c r="V219" s="7"/>
      <c r="W219" s="7"/>
      <c r="X219" s="8"/>
      <c r="Y219" s="7"/>
      <c r="Z219" s="8" t="str">
        <f aca="false">IF(S219="","",S219-N(X219))</f>
        <v/>
      </c>
      <c r="AA219" s="7"/>
    </row>
    <row r="220" customFormat="false" ht="15" hidden="false" customHeight="false" outlineLevel="0" collapsed="false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8"/>
      <c r="Q220" s="8"/>
      <c r="R220" s="7"/>
      <c r="S220" s="8"/>
      <c r="T220" s="8"/>
      <c r="U220" s="7"/>
      <c r="V220" s="7"/>
      <c r="W220" s="7"/>
      <c r="X220" s="8"/>
      <c r="Y220" s="7"/>
      <c r="Z220" s="8" t="str">
        <f aca="false">IF(S220="","",S220-N(X220))</f>
        <v/>
      </c>
      <c r="AA220" s="7"/>
    </row>
    <row r="221" customFormat="false" ht="15" hidden="false" customHeight="false" outlineLevel="0" collapsed="false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8"/>
      <c r="Q221" s="8"/>
      <c r="R221" s="7"/>
      <c r="S221" s="8"/>
      <c r="T221" s="8"/>
      <c r="U221" s="7"/>
      <c r="V221" s="7"/>
      <c r="W221" s="7"/>
      <c r="X221" s="8"/>
      <c r="Y221" s="7"/>
      <c r="Z221" s="8" t="str">
        <f aca="false">IF(S221="","",S221-N(X221))</f>
        <v/>
      </c>
      <c r="AA221" s="7"/>
    </row>
    <row r="222" customFormat="false" ht="15" hidden="false" customHeight="fals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8"/>
      <c r="Q222" s="8"/>
      <c r="R222" s="7"/>
      <c r="S222" s="8"/>
      <c r="T222" s="8"/>
      <c r="U222" s="7"/>
      <c r="V222" s="7"/>
      <c r="W222" s="7"/>
      <c r="X222" s="8"/>
      <c r="Y222" s="7"/>
      <c r="Z222" s="8" t="str">
        <f aca="false">IF(S222="","",S222-N(X222))</f>
        <v/>
      </c>
      <c r="AA222" s="7"/>
    </row>
    <row r="223" customFormat="false" ht="15" hidden="false" customHeight="fals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8"/>
      <c r="Q223" s="8"/>
      <c r="R223" s="7"/>
      <c r="S223" s="8"/>
      <c r="T223" s="8"/>
      <c r="U223" s="7"/>
      <c r="V223" s="7"/>
      <c r="W223" s="7"/>
      <c r="X223" s="8"/>
      <c r="Y223" s="7"/>
      <c r="Z223" s="8" t="str">
        <f aca="false">IF(S223="","",S223-N(X223))</f>
        <v/>
      </c>
      <c r="AA223" s="7"/>
    </row>
    <row r="224" customFormat="false" ht="15" hidden="false" customHeight="fals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8"/>
      <c r="Q224" s="8"/>
      <c r="R224" s="7"/>
      <c r="S224" s="8"/>
      <c r="T224" s="8"/>
      <c r="U224" s="7"/>
      <c r="V224" s="7"/>
      <c r="W224" s="7"/>
      <c r="X224" s="8"/>
      <c r="Y224" s="7"/>
      <c r="Z224" s="8" t="str">
        <f aca="false">IF(S224="","",S224-N(X224))</f>
        <v/>
      </c>
      <c r="AA224" s="7"/>
    </row>
    <row r="225" customFormat="false" ht="15" hidden="false" customHeight="false" outlineLevel="0" collapsed="false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8"/>
      <c r="Q225" s="8"/>
      <c r="R225" s="7"/>
      <c r="S225" s="8"/>
      <c r="T225" s="8"/>
      <c r="U225" s="7"/>
      <c r="V225" s="7"/>
      <c r="W225" s="7"/>
      <c r="X225" s="8"/>
      <c r="Y225" s="7"/>
      <c r="Z225" s="8" t="str">
        <f aca="false">IF(S225="","",S225-N(X225))</f>
        <v/>
      </c>
      <c r="AA225" s="7"/>
    </row>
    <row r="226" customFormat="false" ht="15" hidden="false" customHeight="fals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8"/>
      <c r="Q226" s="8"/>
      <c r="R226" s="7"/>
      <c r="S226" s="8"/>
      <c r="T226" s="8"/>
      <c r="U226" s="7"/>
      <c r="V226" s="7"/>
      <c r="W226" s="7"/>
      <c r="X226" s="8"/>
      <c r="Y226" s="7"/>
      <c r="Z226" s="8" t="str">
        <f aca="false">IF(S226="","",S226-N(X226))</f>
        <v/>
      </c>
      <c r="AA226" s="7"/>
    </row>
    <row r="227" customFormat="false" ht="15" hidden="false" customHeight="fals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8"/>
      <c r="Q227" s="8"/>
      <c r="R227" s="7"/>
      <c r="S227" s="8"/>
      <c r="T227" s="8"/>
      <c r="U227" s="7"/>
      <c r="V227" s="7"/>
      <c r="W227" s="7"/>
      <c r="X227" s="8"/>
      <c r="Y227" s="7"/>
      <c r="Z227" s="8" t="str">
        <f aca="false">IF(S227="","",S227-N(X227))</f>
        <v/>
      </c>
      <c r="AA227" s="7"/>
    </row>
    <row r="228" customFormat="false" ht="15" hidden="false" customHeight="fals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8"/>
      <c r="Q228" s="8"/>
      <c r="R228" s="7"/>
      <c r="S228" s="8"/>
      <c r="T228" s="8"/>
      <c r="U228" s="7"/>
      <c r="V228" s="7"/>
      <c r="W228" s="7"/>
      <c r="X228" s="8"/>
      <c r="Y228" s="7"/>
      <c r="Z228" s="8" t="str">
        <f aca="false">IF(S228="","",S228-N(X228))</f>
        <v/>
      </c>
      <c r="AA228" s="7"/>
    </row>
    <row r="229" customFormat="false" ht="15" hidden="false" customHeight="false" outlineLevel="0" collapsed="false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8"/>
      <c r="Q229" s="8"/>
      <c r="R229" s="7"/>
      <c r="S229" s="8"/>
      <c r="T229" s="8"/>
      <c r="U229" s="7"/>
      <c r="V229" s="7"/>
      <c r="W229" s="7"/>
      <c r="X229" s="8"/>
      <c r="Y229" s="7"/>
      <c r="Z229" s="8" t="str">
        <f aca="false">IF(S229="","",S229-N(X229))</f>
        <v/>
      </c>
      <c r="AA229" s="7"/>
    </row>
    <row r="230" customFormat="false" ht="15" hidden="false" customHeight="false" outlineLevel="0" collapsed="false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8"/>
      <c r="Q230" s="8"/>
      <c r="R230" s="7"/>
      <c r="S230" s="8"/>
      <c r="T230" s="8"/>
      <c r="U230" s="7"/>
      <c r="V230" s="7"/>
      <c r="W230" s="7"/>
      <c r="X230" s="8"/>
      <c r="Y230" s="7"/>
      <c r="Z230" s="8" t="str">
        <f aca="false">IF(S230="","",S230-N(X230))</f>
        <v/>
      </c>
      <c r="AA230" s="7"/>
    </row>
    <row r="231" customFormat="false" ht="15" hidden="false" customHeight="false" outlineLevel="0" collapsed="false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8"/>
      <c r="Q231" s="8"/>
      <c r="R231" s="7"/>
      <c r="S231" s="8"/>
      <c r="T231" s="8"/>
      <c r="U231" s="7"/>
      <c r="V231" s="7"/>
      <c r="W231" s="7"/>
      <c r="X231" s="8"/>
      <c r="Y231" s="7"/>
      <c r="Z231" s="8" t="str">
        <f aca="false">IF(S231="","",S231-N(X231))</f>
        <v/>
      </c>
      <c r="AA231" s="7"/>
    </row>
    <row r="232" customFormat="false" ht="15" hidden="false" customHeight="false" outlineLevel="0" collapsed="false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8"/>
      <c r="Q232" s="8"/>
      <c r="R232" s="7"/>
      <c r="S232" s="8"/>
      <c r="T232" s="8"/>
      <c r="U232" s="7"/>
      <c r="V232" s="7"/>
      <c r="W232" s="7"/>
      <c r="X232" s="8"/>
      <c r="Y232" s="7"/>
      <c r="Z232" s="8" t="str">
        <f aca="false">IF(S232="","",S232-N(X232))</f>
        <v/>
      </c>
      <c r="AA232" s="7"/>
    </row>
    <row r="233" customFormat="false" ht="15" hidden="false" customHeight="false" outlineLevel="0" collapsed="false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8"/>
      <c r="Q233" s="8"/>
      <c r="R233" s="7"/>
      <c r="S233" s="8"/>
      <c r="T233" s="8"/>
      <c r="U233" s="7"/>
      <c r="V233" s="7"/>
      <c r="W233" s="7"/>
      <c r="X233" s="8"/>
      <c r="Y233" s="7"/>
      <c r="Z233" s="8" t="str">
        <f aca="false">IF(S233="","",S233-N(X233))</f>
        <v/>
      </c>
      <c r="AA233" s="7"/>
    </row>
    <row r="234" customFormat="false" ht="15" hidden="false" customHeight="false" outlineLevel="0" collapsed="false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8"/>
      <c r="Q234" s="8"/>
      <c r="R234" s="7"/>
      <c r="S234" s="8"/>
      <c r="T234" s="8"/>
      <c r="U234" s="7"/>
      <c r="V234" s="7"/>
      <c r="W234" s="7"/>
      <c r="X234" s="8"/>
      <c r="Y234" s="7"/>
      <c r="Z234" s="8" t="str">
        <f aca="false">IF(S234="","",S234-N(X234))</f>
        <v/>
      </c>
      <c r="AA234" s="7"/>
    </row>
    <row r="235" customFormat="false" ht="15" hidden="false" customHeight="false" outlineLevel="0" collapsed="false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8"/>
      <c r="Q235" s="8"/>
      <c r="R235" s="7"/>
      <c r="S235" s="8"/>
      <c r="T235" s="8"/>
      <c r="U235" s="7"/>
      <c r="V235" s="7"/>
      <c r="W235" s="7"/>
      <c r="X235" s="8"/>
      <c r="Y235" s="7"/>
      <c r="Z235" s="8" t="str">
        <f aca="false">IF(S235="","",S235-N(X235))</f>
        <v/>
      </c>
      <c r="AA235" s="7"/>
    </row>
    <row r="236" customFormat="false" ht="15" hidden="false" customHeight="false" outlineLevel="0" collapsed="false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8"/>
      <c r="Q236" s="8"/>
      <c r="R236" s="7"/>
      <c r="S236" s="8"/>
      <c r="T236" s="8"/>
      <c r="U236" s="7"/>
      <c r="V236" s="7"/>
      <c r="W236" s="7"/>
      <c r="X236" s="8"/>
      <c r="Y236" s="7"/>
      <c r="Z236" s="8" t="str">
        <f aca="false">IF(S236="","",S236-N(X236))</f>
        <v/>
      </c>
      <c r="AA236" s="7"/>
    </row>
    <row r="237" customFormat="false" ht="15" hidden="false" customHeight="false" outlineLevel="0" collapsed="false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8"/>
      <c r="Q237" s="8"/>
      <c r="R237" s="7"/>
      <c r="S237" s="8"/>
      <c r="T237" s="8"/>
      <c r="U237" s="7"/>
      <c r="V237" s="7"/>
      <c r="W237" s="7"/>
      <c r="X237" s="8"/>
      <c r="Y237" s="7"/>
      <c r="Z237" s="8" t="str">
        <f aca="false">IF(S237="","",S237-N(X237))</f>
        <v/>
      </c>
      <c r="AA237" s="7"/>
    </row>
    <row r="238" customFormat="false" ht="15" hidden="false" customHeight="false" outlineLevel="0" collapsed="false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8"/>
      <c r="Q238" s="8"/>
      <c r="R238" s="7"/>
      <c r="S238" s="8"/>
      <c r="T238" s="8"/>
      <c r="U238" s="7"/>
      <c r="V238" s="7"/>
      <c r="W238" s="7"/>
      <c r="X238" s="8"/>
      <c r="Y238" s="7"/>
      <c r="Z238" s="8" t="str">
        <f aca="false">IF(S238="","",S238-N(X238))</f>
        <v/>
      </c>
      <c r="AA238" s="7"/>
    </row>
    <row r="239" customFormat="false" ht="15" hidden="false" customHeight="false" outlineLevel="0" collapsed="false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8"/>
      <c r="Q239" s="8"/>
      <c r="R239" s="7"/>
      <c r="S239" s="8"/>
      <c r="T239" s="8"/>
      <c r="U239" s="7"/>
      <c r="V239" s="7"/>
      <c r="W239" s="7"/>
      <c r="X239" s="8"/>
      <c r="Y239" s="7"/>
      <c r="Z239" s="8" t="str">
        <f aca="false">IF(S239="","",S239-N(X239))</f>
        <v/>
      </c>
      <c r="AA239" s="7"/>
    </row>
    <row r="240" customFormat="false" ht="15" hidden="false" customHeight="false" outlineLevel="0" collapsed="false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8"/>
      <c r="Q240" s="8"/>
      <c r="R240" s="7"/>
      <c r="S240" s="8"/>
      <c r="T240" s="8"/>
      <c r="U240" s="7"/>
      <c r="V240" s="7"/>
      <c r="W240" s="7"/>
      <c r="X240" s="8"/>
      <c r="Y240" s="7"/>
      <c r="Z240" s="8" t="str">
        <f aca="false">IF(S240="","",S240-N(X240))</f>
        <v/>
      </c>
      <c r="AA240" s="7"/>
    </row>
    <row r="241" customFormat="false" ht="15" hidden="false" customHeight="false" outlineLevel="0" collapsed="false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8"/>
      <c r="Q241" s="8"/>
      <c r="R241" s="7"/>
      <c r="S241" s="8"/>
      <c r="T241" s="8"/>
      <c r="U241" s="7"/>
      <c r="V241" s="7"/>
      <c r="W241" s="7"/>
      <c r="X241" s="8"/>
      <c r="Y241" s="7"/>
      <c r="Z241" s="8" t="str">
        <f aca="false">IF(S241="","",S241-N(X241))</f>
        <v/>
      </c>
      <c r="AA241" s="7"/>
    </row>
    <row r="242" customFormat="false" ht="15" hidden="false" customHeight="false" outlineLevel="0" collapsed="false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8"/>
      <c r="Q242" s="8"/>
      <c r="R242" s="7"/>
      <c r="S242" s="8"/>
      <c r="T242" s="8"/>
      <c r="U242" s="7"/>
      <c r="V242" s="7"/>
      <c r="W242" s="7"/>
      <c r="X242" s="8"/>
      <c r="Y242" s="7"/>
      <c r="Z242" s="8" t="str">
        <f aca="false">IF(S242="","",S242-N(X242))</f>
        <v/>
      </c>
      <c r="AA242" s="7"/>
    </row>
    <row r="243" customFormat="false" ht="15" hidden="false" customHeight="false" outlineLevel="0" collapsed="false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8"/>
      <c r="Q243" s="8"/>
      <c r="R243" s="7"/>
      <c r="S243" s="8"/>
      <c r="T243" s="8"/>
      <c r="U243" s="7"/>
      <c r="V243" s="7"/>
      <c r="W243" s="7"/>
      <c r="X243" s="8"/>
      <c r="Y243" s="7"/>
      <c r="Z243" s="8" t="str">
        <f aca="false">IF(S243="","",S243-N(X243))</f>
        <v/>
      </c>
      <c r="AA243" s="7"/>
    </row>
    <row r="244" customFormat="false" ht="15" hidden="false" customHeight="false" outlineLevel="0" collapsed="false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8"/>
      <c r="Q244" s="8"/>
      <c r="R244" s="7"/>
      <c r="S244" s="8"/>
      <c r="T244" s="8"/>
      <c r="U244" s="7"/>
      <c r="V244" s="7"/>
      <c r="W244" s="7"/>
      <c r="X244" s="8"/>
      <c r="Y244" s="7"/>
      <c r="Z244" s="8" t="str">
        <f aca="false">IF(S244="","",S244-N(X244))</f>
        <v/>
      </c>
      <c r="AA244" s="7"/>
    </row>
    <row r="245" customFormat="false" ht="15" hidden="false" customHeight="false" outlineLevel="0" collapsed="false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8"/>
      <c r="Q245" s="8"/>
      <c r="R245" s="7"/>
      <c r="S245" s="8"/>
      <c r="T245" s="8"/>
      <c r="U245" s="7"/>
      <c r="V245" s="7"/>
      <c r="W245" s="7"/>
      <c r="X245" s="8"/>
      <c r="Y245" s="7"/>
      <c r="Z245" s="8" t="str">
        <f aca="false">IF(S245="","",S245-N(X245))</f>
        <v/>
      </c>
      <c r="AA245" s="7"/>
    </row>
    <row r="246" customFormat="false" ht="15" hidden="false" customHeight="false" outlineLevel="0" collapsed="false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8"/>
      <c r="Q246" s="8"/>
      <c r="R246" s="7"/>
      <c r="S246" s="8"/>
      <c r="T246" s="8"/>
      <c r="U246" s="7"/>
      <c r="V246" s="7"/>
      <c r="W246" s="7"/>
      <c r="X246" s="8"/>
      <c r="Y246" s="7"/>
      <c r="Z246" s="8" t="str">
        <f aca="false">IF(S246="","",S246-N(X246))</f>
        <v/>
      </c>
      <c r="AA246" s="7"/>
    </row>
    <row r="247" customFormat="false" ht="15" hidden="false" customHeight="false" outlineLevel="0" collapsed="false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8"/>
      <c r="Q247" s="8"/>
      <c r="R247" s="7"/>
      <c r="S247" s="8"/>
      <c r="T247" s="8"/>
      <c r="U247" s="7"/>
      <c r="V247" s="7"/>
      <c r="W247" s="7"/>
      <c r="X247" s="8"/>
      <c r="Y247" s="7"/>
      <c r="Z247" s="8" t="str">
        <f aca="false">IF(S247="","",S247-N(X247))</f>
        <v/>
      </c>
      <c r="AA247" s="7"/>
    </row>
    <row r="248" customFormat="false" ht="15" hidden="false" customHeight="false" outlineLevel="0" collapsed="false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8"/>
      <c r="Q248" s="8"/>
      <c r="R248" s="7"/>
      <c r="S248" s="8"/>
      <c r="T248" s="8"/>
      <c r="U248" s="7"/>
      <c r="V248" s="7"/>
      <c r="W248" s="7"/>
      <c r="X248" s="8"/>
      <c r="Y248" s="7"/>
      <c r="Z248" s="8" t="str">
        <f aca="false">IF(S248="","",S248-N(X248))</f>
        <v/>
      </c>
      <c r="AA248" s="7"/>
    </row>
    <row r="249" customFormat="false" ht="15" hidden="false" customHeight="false" outlineLevel="0" collapsed="false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8"/>
      <c r="Q249" s="8"/>
      <c r="R249" s="7"/>
      <c r="S249" s="8"/>
      <c r="T249" s="8"/>
      <c r="U249" s="7"/>
      <c r="V249" s="7"/>
      <c r="W249" s="7"/>
      <c r="X249" s="8"/>
      <c r="Y249" s="7"/>
      <c r="Z249" s="8" t="str">
        <f aca="false">IF(S249="","",S249-N(X249))</f>
        <v/>
      </c>
      <c r="AA249" s="7"/>
    </row>
    <row r="250" customFormat="false" ht="15" hidden="false" customHeight="false" outlineLevel="0" collapsed="false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8"/>
      <c r="Q250" s="8"/>
      <c r="R250" s="7"/>
      <c r="S250" s="8"/>
      <c r="T250" s="8"/>
      <c r="U250" s="7"/>
      <c r="V250" s="7"/>
      <c r="W250" s="7"/>
      <c r="X250" s="8"/>
      <c r="Y250" s="7"/>
      <c r="Z250" s="8" t="str">
        <f aca="false">IF(S250="","",S250-N(X250))</f>
        <v/>
      </c>
      <c r="AA250" s="7"/>
    </row>
    <row r="251" customFormat="false" ht="15" hidden="false" customHeight="false" outlineLevel="0" collapsed="false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8"/>
      <c r="Q251" s="8"/>
      <c r="R251" s="7"/>
      <c r="S251" s="8"/>
      <c r="T251" s="8"/>
      <c r="U251" s="7"/>
      <c r="V251" s="7"/>
      <c r="W251" s="7"/>
      <c r="X251" s="8"/>
      <c r="Y251" s="7"/>
      <c r="Z251" s="8" t="str">
        <f aca="false">IF(S251="","",S251-N(X251))</f>
        <v/>
      </c>
      <c r="AA251" s="7"/>
    </row>
    <row r="252" customFormat="false" ht="15" hidden="false" customHeight="false" outlineLevel="0" collapsed="false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8"/>
      <c r="Q252" s="8"/>
      <c r="R252" s="7"/>
      <c r="S252" s="8"/>
      <c r="T252" s="8"/>
      <c r="U252" s="7"/>
      <c r="V252" s="7"/>
      <c r="W252" s="7"/>
      <c r="X252" s="8"/>
      <c r="Y252" s="7"/>
      <c r="Z252" s="8" t="str">
        <f aca="false">IF(S252="","",S252-N(X252))</f>
        <v/>
      </c>
      <c r="AA252" s="7"/>
    </row>
    <row r="253" customFormat="false" ht="15" hidden="false" customHeight="fals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8"/>
      <c r="Q253" s="8"/>
      <c r="R253" s="7"/>
      <c r="S253" s="8"/>
      <c r="T253" s="8"/>
      <c r="U253" s="7"/>
      <c r="V253" s="7"/>
      <c r="W253" s="7"/>
      <c r="X253" s="8"/>
      <c r="Y253" s="7"/>
      <c r="Z253" s="8" t="str">
        <f aca="false">IF(S253="","",S253-N(X253))</f>
        <v/>
      </c>
      <c r="AA253" s="7"/>
    </row>
    <row r="254" customFormat="false" ht="15" hidden="false" customHeight="fals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8"/>
      <c r="Q254" s="8"/>
      <c r="R254" s="7"/>
      <c r="S254" s="8"/>
      <c r="T254" s="8"/>
      <c r="U254" s="7"/>
      <c r="V254" s="7"/>
      <c r="W254" s="7"/>
      <c r="X254" s="8"/>
      <c r="Y254" s="7"/>
      <c r="Z254" s="8" t="str">
        <f aca="false">IF(S254="","",S254-N(X254))</f>
        <v/>
      </c>
      <c r="AA254" s="7"/>
    </row>
    <row r="255" customFormat="false" ht="15" hidden="false" customHeight="fals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8"/>
      <c r="Q255" s="8"/>
      <c r="R255" s="7"/>
      <c r="S255" s="8"/>
      <c r="T255" s="8"/>
      <c r="U255" s="7"/>
      <c r="V255" s="7"/>
      <c r="W255" s="7"/>
      <c r="X255" s="8"/>
      <c r="Y255" s="7"/>
      <c r="Z255" s="8" t="str">
        <f aca="false">IF(S255="","",S255-N(X255))</f>
        <v/>
      </c>
      <c r="AA255" s="7"/>
    </row>
    <row r="256" customFormat="false" ht="15" hidden="false" customHeight="fals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8"/>
      <c r="Q256" s="8"/>
      <c r="R256" s="7"/>
      <c r="S256" s="8"/>
      <c r="T256" s="8"/>
      <c r="U256" s="7"/>
      <c r="V256" s="7"/>
      <c r="W256" s="7"/>
      <c r="X256" s="8"/>
      <c r="Y256" s="7"/>
      <c r="Z256" s="8" t="str">
        <f aca="false">IF(S256="","",S256-N(X256))</f>
        <v/>
      </c>
      <c r="AA256" s="7"/>
    </row>
    <row r="257" customFormat="false" ht="15" hidden="false" customHeight="fals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8"/>
      <c r="Q257" s="8"/>
      <c r="R257" s="7"/>
      <c r="S257" s="8"/>
      <c r="T257" s="8"/>
      <c r="U257" s="7"/>
      <c r="V257" s="7"/>
      <c r="W257" s="7"/>
      <c r="X257" s="8"/>
      <c r="Y257" s="7"/>
      <c r="Z257" s="8" t="str">
        <f aca="false">IF(S257="","",S257-N(X257))</f>
        <v/>
      </c>
      <c r="AA257" s="7"/>
    </row>
    <row r="258" customFormat="false" ht="15" hidden="false" customHeight="fals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8"/>
      <c r="Q258" s="8"/>
      <c r="R258" s="7"/>
      <c r="S258" s="8"/>
      <c r="T258" s="8"/>
      <c r="U258" s="7"/>
      <c r="V258" s="7"/>
      <c r="W258" s="7"/>
      <c r="X258" s="8"/>
      <c r="Y258" s="7"/>
      <c r="Z258" s="8" t="str">
        <f aca="false">IF(S258="","",S258-N(X258))</f>
        <v/>
      </c>
      <c r="AA258" s="7"/>
    </row>
    <row r="259" customFormat="false" ht="15" hidden="false" customHeight="fals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8"/>
      <c r="Q259" s="8"/>
      <c r="R259" s="7"/>
      <c r="S259" s="8"/>
      <c r="T259" s="8"/>
      <c r="U259" s="7"/>
      <c r="V259" s="7"/>
      <c r="W259" s="7"/>
      <c r="X259" s="8"/>
      <c r="Y259" s="7"/>
      <c r="Z259" s="8" t="str">
        <f aca="false">IF(S259="","",S259-N(X259))</f>
        <v/>
      </c>
      <c r="AA259" s="7"/>
    </row>
    <row r="260" customFormat="false" ht="15" hidden="false" customHeight="fals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8"/>
      <c r="Q260" s="8"/>
      <c r="R260" s="7"/>
      <c r="S260" s="8"/>
      <c r="T260" s="8"/>
      <c r="U260" s="7"/>
      <c r="V260" s="7"/>
      <c r="W260" s="7"/>
      <c r="X260" s="8"/>
      <c r="Y260" s="7"/>
      <c r="Z260" s="8" t="str">
        <f aca="false">IF(S260="","",S260-N(X260))</f>
        <v/>
      </c>
      <c r="AA260" s="7"/>
    </row>
    <row r="261" customFormat="false" ht="15" hidden="false" customHeight="fals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8"/>
      <c r="Q261" s="8"/>
      <c r="R261" s="7"/>
      <c r="S261" s="8"/>
      <c r="T261" s="8"/>
      <c r="U261" s="7"/>
      <c r="V261" s="7"/>
      <c r="W261" s="7"/>
      <c r="X261" s="8"/>
      <c r="Y261" s="7"/>
      <c r="Z261" s="8" t="str">
        <f aca="false">IF(S261="","",S261-N(X261))</f>
        <v/>
      </c>
      <c r="AA261" s="7"/>
    </row>
    <row r="262" customFormat="false" ht="15" hidden="false" customHeight="fals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8"/>
      <c r="Q262" s="8"/>
      <c r="R262" s="7"/>
      <c r="S262" s="8"/>
      <c r="T262" s="8"/>
      <c r="U262" s="7"/>
      <c r="V262" s="7"/>
      <c r="W262" s="7"/>
      <c r="X262" s="8"/>
      <c r="Y262" s="7"/>
      <c r="Z262" s="8" t="str">
        <f aca="false">IF(S262="","",S262-N(X262))</f>
        <v/>
      </c>
      <c r="AA262" s="7"/>
    </row>
    <row r="263" customFormat="false" ht="15" hidden="false" customHeight="fals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8"/>
      <c r="Q263" s="8"/>
      <c r="R263" s="7"/>
      <c r="S263" s="8"/>
      <c r="T263" s="8"/>
      <c r="U263" s="7"/>
      <c r="V263" s="7"/>
      <c r="W263" s="7"/>
      <c r="X263" s="8"/>
      <c r="Y263" s="7"/>
      <c r="Z263" s="8" t="str">
        <f aca="false">IF(S263="","",S263-N(X263))</f>
        <v/>
      </c>
      <c r="AA263" s="7"/>
    </row>
    <row r="264" customFormat="false" ht="15" hidden="false" customHeight="fals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8"/>
      <c r="Q264" s="8"/>
      <c r="R264" s="7"/>
      <c r="S264" s="8"/>
      <c r="T264" s="8"/>
      <c r="U264" s="7"/>
      <c r="V264" s="7"/>
      <c r="W264" s="7"/>
      <c r="X264" s="8"/>
      <c r="Y264" s="7"/>
      <c r="Z264" s="8" t="str">
        <f aca="false">IF(S264="","",S264-N(X264))</f>
        <v/>
      </c>
      <c r="AA264" s="7"/>
    </row>
    <row r="265" customFormat="false" ht="15" hidden="false" customHeight="fals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8"/>
      <c r="Q265" s="8"/>
      <c r="R265" s="7"/>
      <c r="S265" s="8"/>
      <c r="T265" s="8"/>
      <c r="U265" s="7"/>
      <c r="V265" s="7"/>
      <c r="W265" s="7"/>
      <c r="X265" s="8"/>
      <c r="Y265" s="7"/>
      <c r="Z265" s="8" t="str">
        <f aca="false">IF(S265="","",S265-N(X265))</f>
        <v/>
      </c>
      <c r="AA265" s="7"/>
    </row>
    <row r="266" customFormat="false" ht="15" hidden="false" customHeight="fals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8"/>
      <c r="Q266" s="8"/>
      <c r="R266" s="7"/>
      <c r="S266" s="8"/>
      <c r="T266" s="8"/>
      <c r="U266" s="7"/>
      <c r="V266" s="7"/>
      <c r="W266" s="7"/>
      <c r="X266" s="8"/>
      <c r="Y266" s="7"/>
      <c r="Z266" s="8" t="str">
        <f aca="false">IF(S266="","",S266-N(X266))</f>
        <v/>
      </c>
      <c r="AA266" s="7"/>
    </row>
    <row r="267" customFormat="false" ht="15" hidden="false" customHeight="fals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8"/>
      <c r="Q267" s="8"/>
      <c r="R267" s="7"/>
      <c r="S267" s="8"/>
      <c r="T267" s="8"/>
      <c r="U267" s="7"/>
      <c r="V267" s="7"/>
      <c r="W267" s="7"/>
      <c r="X267" s="8"/>
      <c r="Y267" s="7"/>
      <c r="Z267" s="8" t="str">
        <f aca="false">IF(S267="","",S267-N(X267))</f>
        <v/>
      </c>
      <c r="AA267" s="7"/>
    </row>
    <row r="268" customFormat="false" ht="15" hidden="false" customHeight="fals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8"/>
      <c r="Q268" s="8"/>
      <c r="R268" s="7"/>
      <c r="S268" s="8"/>
      <c r="T268" s="8"/>
      <c r="U268" s="7"/>
      <c r="V268" s="7"/>
      <c r="W268" s="7"/>
      <c r="X268" s="8"/>
      <c r="Y268" s="7"/>
      <c r="Z268" s="8" t="str">
        <f aca="false">IF(S268="","",S268-N(X268))</f>
        <v/>
      </c>
      <c r="AA268" s="7"/>
    </row>
    <row r="269" customFormat="false" ht="15" hidden="false" customHeight="fals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8"/>
      <c r="Q269" s="8"/>
      <c r="R269" s="7"/>
      <c r="S269" s="8"/>
      <c r="T269" s="8"/>
      <c r="U269" s="7"/>
      <c r="V269" s="7"/>
      <c r="W269" s="7"/>
      <c r="X269" s="8"/>
      <c r="Y269" s="7"/>
      <c r="Z269" s="8" t="str">
        <f aca="false">IF(S269="","",S269-N(X269))</f>
        <v/>
      </c>
      <c r="AA269" s="7"/>
    </row>
    <row r="270" customFormat="false" ht="15" hidden="false" customHeight="false" outlineLevel="0" collapsed="false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8"/>
      <c r="Q270" s="8"/>
      <c r="R270" s="7"/>
      <c r="S270" s="8"/>
      <c r="T270" s="8"/>
      <c r="U270" s="7"/>
      <c r="V270" s="7"/>
      <c r="W270" s="7"/>
      <c r="X270" s="8"/>
      <c r="Y270" s="7"/>
      <c r="Z270" s="8" t="str">
        <f aca="false">IF(S270="","",S270-N(X270))</f>
        <v/>
      </c>
      <c r="AA270" s="7"/>
    </row>
    <row r="271" customFormat="false" ht="15" hidden="false" customHeight="fals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8"/>
      <c r="Q271" s="8"/>
      <c r="R271" s="7"/>
      <c r="S271" s="8"/>
      <c r="T271" s="8"/>
      <c r="U271" s="7"/>
      <c r="V271" s="7"/>
      <c r="W271" s="7"/>
      <c r="X271" s="8"/>
      <c r="Y271" s="7"/>
      <c r="Z271" s="8" t="str">
        <f aca="false">IF(S271="","",S271-N(X271))</f>
        <v/>
      </c>
      <c r="AA271" s="7"/>
    </row>
    <row r="272" customFormat="false" ht="15" hidden="false" customHeight="fals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8"/>
      <c r="Q272" s="8"/>
      <c r="R272" s="7"/>
      <c r="S272" s="8"/>
      <c r="T272" s="8"/>
      <c r="U272" s="7"/>
      <c r="V272" s="7"/>
      <c r="W272" s="7"/>
      <c r="X272" s="8"/>
      <c r="Y272" s="7"/>
      <c r="Z272" s="8" t="str">
        <f aca="false">IF(S272="","",S272-N(X272))</f>
        <v/>
      </c>
      <c r="AA272" s="7"/>
    </row>
    <row r="273" customFormat="false" ht="15" hidden="false" customHeight="fals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8"/>
      <c r="Q273" s="8"/>
      <c r="R273" s="7"/>
      <c r="S273" s="8"/>
      <c r="T273" s="8"/>
      <c r="U273" s="7"/>
      <c r="V273" s="7"/>
      <c r="W273" s="7"/>
      <c r="X273" s="8"/>
      <c r="Y273" s="7"/>
      <c r="Z273" s="8" t="str">
        <f aca="false">IF(S273="","",S273-N(X273))</f>
        <v/>
      </c>
      <c r="AA273" s="7"/>
    </row>
    <row r="274" customFormat="false" ht="15" hidden="false" customHeight="fals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8"/>
      <c r="Q274" s="8"/>
      <c r="R274" s="7"/>
      <c r="S274" s="8"/>
      <c r="T274" s="8"/>
      <c r="U274" s="7"/>
      <c r="V274" s="7"/>
      <c r="W274" s="7"/>
      <c r="X274" s="8"/>
      <c r="Y274" s="7"/>
      <c r="Z274" s="8" t="str">
        <f aca="false">IF(S274="","",S274-N(X274))</f>
        <v/>
      </c>
      <c r="AA274" s="7"/>
    </row>
    <row r="275" customFormat="false" ht="15" hidden="false" customHeight="false" outlineLevel="0" collapsed="false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8"/>
      <c r="Q275" s="8"/>
      <c r="R275" s="7"/>
      <c r="S275" s="8"/>
      <c r="T275" s="8"/>
      <c r="U275" s="7"/>
      <c r="V275" s="7"/>
      <c r="W275" s="7"/>
      <c r="X275" s="8"/>
      <c r="Y275" s="7"/>
      <c r="Z275" s="8" t="str">
        <f aca="false">IF(S275="","",S275-N(X275))</f>
        <v/>
      </c>
      <c r="AA275" s="7"/>
    </row>
    <row r="276" customFormat="false" ht="15" hidden="false" customHeight="fals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8"/>
      <c r="Q276" s="8"/>
      <c r="R276" s="7"/>
      <c r="S276" s="8"/>
      <c r="T276" s="8"/>
      <c r="U276" s="7"/>
      <c r="V276" s="7"/>
      <c r="W276" s="7"/>
      <c r="X276" s="8"/>
      <c r="Y276" s="7"/>
      <c r="Z276" s="8" t="str">
        <f aca="false">IF(S276="","",S276-N(X276))</f>
        <v/>
      </c>
      <c r="AA276" s="7"/>
    </row>
    <row r="277" customFormat="false" ht="15" hidden="false" customHeight="fals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8"/>
      <c r="Q277" s="8"/>
      <c r="R277" s="7"/>
      <c r="S277" s="8"/>
      <c r="T277" s="8"/>
      <c r="U277" s="7"/>
      <c r="V277" s="7"/>
      <c r="W277" s="7"/>
      <c r="X277" s="8"/>
      <c r="Y277" s="7"/>
      <c r="Z277" s="8" t="str">
        <f aca="false">IF(S277="","",S277-N(X277))</f>
        <v/>
      </c>
      <c r="AA277" s="7"/>
    </row>
    <row r="278" customFormat="false" ht="15" hidden="false" customHeight="fals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8"/>
      <c r="Q278" s="8"/>
      <c r="R278" s="7"/>
      <c r="S278" s="8"/>
      <c r="T278" s="8"/>
      <c r="U278" s="7"/>
      <c r="V278" s="7"/>
      <c r="W278" s="7"/>
      <c r="X278" s="8"/>
      <c r="Y278" s="7"/>
      <c r="Z278" s="8" t="str">
        <f aca="false">IF(S278="","",S278-N(X278))</f>
        <v/>
      </c>
      <c r="AA278" s="7"/>
    </row>
    <row r="279" customFormat="false" ht="15" hidden="false" customHeight="fals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8"/>
      <c r="Q279" s="8"/>
      <c r="R279" s="7"/>
      <c r="S279" s="8"/>
      <c r="T279" s="8"/>
      <c r="U279" s="7"/>
      <c r="V279" s="7"/>
      <c r="W279" s="7"/>
      <c r="X279" s="8"/>
      <c r="Y279" s="7"/>
      <c r="Z279" s="8" t="str">
        <f aca="false">IF(S279="","",S279-N(X279))</f>
        <v/>
      </c>
      <c r="AA279" s="7"/>
    </row>
    <row r="280" customFormat="false" ht="15" hidden="false" customHeight="fals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8"/>
      <c r="Q280" s="8"/>
      <c r="R280" s="7"/>
      <c r="S280" s="8"/>
      <c r="T280" s="8"/>
      <c r="U280" s="7"/>
      <c r="V280" s="7"/>
      <c r="W280" s="7"/>
      <c r="X280" s="8"/>
      <c r="Y280" s="7"/>
      <c r="Z280" s="8" t="str">
        <f aca="false">IF(S280="","",S280-N(X280))</f>
        <v/>
      </c>
      <c r="AA280" s="7"/>
    </row>
    <row r="281" customFormat="false" ht="15" hidden="false" customHeight="fals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8"/>
      <c r="Q281" s="8"/>
      <c r="R281" s="7"/>
      <c r="S281" s="8"/>
      <c r="T281" s="8"/>
      <c r="U281" s="7"/>
      <c r="V281" s="7"/>
      <c r="W281" s="7"/>
      <c r="X281" s="8"/>
      <c r="Y281" s="7"/>
      <c r="Z281" s="8" t="str">
        <f aca="false">IF(S281="","",S281-N(X281))</f>
        <v/>
      </c>
      <c r="AA281" s="7"/>
    </row>
    <row r="282" customFormat="false" ht="15" hidden="false" customHeight="fals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8"/>
      <c r="Q282" s="8"/>
      <c r="R282" s="7"/>
      <c r="S282" s="8"/>
      <c r="T282" s="8"/>
      <c r="U282" s="7"/>
      <c r="V282" s="7"/>
      <c r="W282" s="7"/>
      <c r="X282" s="8"/>
      <c r="Y282" s="7"/>
      <c r="Z282" s="8" t="str">
        <f aca="false">IF(S282="","",S282-N(X282))</f>
        <v/>
      </c>
      <c r="AA282" s="7"/>
    </row>
    <row r="283" customFormat="false" ht="15" hidden="false" customHeight="fals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8"/>
      <c r="Q283" s="8"/>
      <c r="R283" s="7"/>
      <c r="S283" s="8"/>
      <c r="T283" s="8"/>
      <c r="U283" s="7"/>
      <c r="V283" s="7"/>
      <c r="W283" s="7"/>
      <c r="X283" s="8"/>
      <c r="Y283" s="7"/>
      <c r="Z283" s="8" t="str">
        <f aca="false">IF(S283="","",S283-N(X283))</f>
        <v/>
      </c>
      <c r="AA283" s="7"/>
    </row>
    <row r="284" customFormat="false" ht="15" hidden="false" customHeight="fals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8"/>
      <c r="Q284" s="8"/>
      <c r="R284" s="7"/>
      <c r="S284" s="8"/>
      <c r="T284" s="8"/>
      <c r="U284" s="7"/>
      <c r="V284" s="7"/>
      <c r="W284" s="7"/>
      <c r="X284" s="8"/>
      <c r="Y284" s="7"/>
      <c r="Z284" s="8" t="str">
        <f aca="false">IF(S284="","",S284-N(X284))</f>
        <v/>
      </c>
      <c r="AA284" s="7"/>
    </row>
    <row r="285" customFormat="false" ht="15" hidden="false" customHeight="fals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8"/>
      <c r="Q285" s="8"/>
      <c r="R285" s="7"/>
      <c r="S285" s="8"/>
      <c r="T285" s="8"/>
      <c r="U285" s="7"/>
      <c r="V285" s="7"/>
      <c r="W285" s="7"/>
      <c r="X285" s="8"/>
      <c r="Y285" s="7"/>
      <c r="Z285" s="8" t="str">
        <f aca="false">IF(S285="","",S285-N(X285))</f>
        <v/>
      </c>
      <c r="AA285" s="7"/>
    </row>
    <row r="286" customFormat="false" ht="15" hidden="false" customHeight="fals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8"/>
      <c r="Q286" s="8"/>
      <c r="R286" s="7"/>
      <c r="S286" s="8"/>
      <c r="T286" s="8"/>
      <c r="U286" s="7"/>
      <c r="V286" s="7"/>
      <c r="W286" s="7"/>
      <c r="X286" s="8"/>
      <c r="Y286" s="7"/>
      <c r="Z286" s="8" t="str">
        <f aca="false">IF(S286="","",S286-N(X286))</f>
        <v/>
      </c>
      <c r="AA286" s="7"/>
    </row>
    <row r="287" customFormat="false" ht="15" hidden="false" customHeight="fals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8"/>
      <c r="Q287" s="8"/>
      <c r="R287" s="7"/>
      <c r="S287" s="8"/>
      <c r="T287" s="8"/>
      <c r="U287" s="7"/>
      <c r="V287" s="7"/>
      <c r="W287" s="7"/>
      <c r="X287" s="8"/>
      <c r="Y287" s="7"/>
      <c r="Z287" s="8" t="str">
        <f aca="false">IF(S287="","",S287-N(X287))</f>
        <v/>
      </c>
      <c r="AA287" s="7"/>
    </row>
    <row r="288" customFormat="false" ht="15" hidden="false" customHeight="fals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8"/>
      <c r="Q288" s="8"/>
      <c r="R288" s="7"/>
      <c r="S288" s="8"/>
      <c r="T288" s="8"/>
      <c r="U288" s="7"/>
      <c r="V288" s="7"/>
      <c r="W288" s="7"/>
      <c r="X288" s="8"/>
      <c r="Y288" s="7"/>
      <c r="Z288" s="8" t="str">
        <f aca="false">IF(S288="","",S288-N(X288))</f>
        <v/>
      </c>
      <c r="AA288" s="7"/>
    </row>
    <row r="289" customFormat="false" ht="15" hidden="false" customHeight="fals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8"/>
      <c r="Q289" s="8"/>
      <c r="R289" s="7"/>
      <c r="S289" s="8"/>
      <c r="T289" s="8"/>
      <c r="U289" s="7"/>
      <c r="V289" s="7"/>
      <c r="W289" s="7"/>
      <c r="X289" s="8"/>
      <c r="Y289" s="7"/>
      <c r="Z289" s="8" t="str">
        <f aca="false">IF(S289="","",S289-N(X289))</f>
        <v/>
      </c>
      <c r="AA289" s="7"/>
    </row>
    <row r="290" customFormat="false" ht="15" hidden="false" customHeight="fals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8"/>
      <c r="Q290" s="8"/>
      <c r="R290" s="7"/>
      <c r="S290" s="8"/>
      <c r="T290" s="8"/>
      <c r="U290" s="7"/>
      <c r="V290" s="7"/>
      <c r="W290" s="7"/>
      <c r="X290" s="8"/>
      <c r="Y290" s="7"/>
      <c r="Z290" s="8" t="str">
        <f aca="false">IF(S290="","",S290-N(X290))</f>
        <v/>
      </c>
      <c r="AA290" s="7"/>
    </row>
    <row r="291" customFormat="false" ht="15" hidden="false" customHeight="fals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8"/>
      <c r="Q291" s="8"/>
      <c r="R291" s="7"/>
      <c r="S291" s="8"/>
      <c r="T291" s="8"/>
      <c r="U291" s="7"/>
      <c r="V291" s="7"/>
      <c r="W291" s="7"/>
      <c r="X291" s="8"/>
      <c r="Y291" s="7"/>
      <c r="Z291" s="8" t="str">
        <f aca="false">IF(S291="","",S291-N(X291))</f>
        <v/>
      </c>
      <c r="AA291" s="7"/>
    </row>
    <row r="292" customFormat="false" ht="15" hidden="false" customHeight="fals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8"/>
      <c r="Q292" s="8"/>
      <c r="R292" s="7"/>
      <c r="S292" s="8"/>
      <c r="T292" s="8"/>
      <c r="U292" s="7"/>
      <c r="V292" s="7"/>
      <c r="W292" s="7"/>
      <c r="X292" s="8"/>
      <c r="Y292" s="7"/>
      <c r="Z292" s="8" t="str">
        <f aca="false">IF(S292="","",S292-N(X292))</f>
        <v/>
      </c>
      <c r="AA292" s="7"/>
    </row>
    <row r="293" customFormat="false" ht="15" hidden="false" customHeight="fals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8"/>
      <c r="Q293" s="8"/>
      <c r="R293" s="7"/>
      <c r="S293" s="8"/>
      <c r="T293" s="8"/>
      <c r="U293" s="7"/>
      <c r="V293" s="7"/>
      <c r="W293" s="7"/>
      <c r="X293" s="8"/>
      <c r="Y293" s="7"/>
      <c r="Z293" s="8" t="str">
        <f aca="false">IF(S293="","",S293-N(X293))</f>
        <v/>
      </c>
      <c r="AA293" s="7"/>
    </row>
    <row r="294" customFormat="false" ht="15" hidden="false" customHeight="fals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8"/>
      <c r="Q294" s="8"/>
      <c r="R294" s="7"/>
      <c r="S294" s="8"/>
      <c r="T294" s="8"/>
      <c r="U294" s="7"/>
      <c r="V294" s="7"/>
      <c r="W294" s="7"/>
      <c r="X294" s="8"/>
      <c r="Y294" s="7"/>
      <c r="Z294" s="8" t="str">
        <f aca="false">IF(S294="","",S294-N(X294))</f>
        <v/>
      </c>
      <c r="AA294" s="7"/>
    </row>
    <row r="295" customFormat="false" ht="15" hidden="false" customHeight="false" outlineLevel="0" collapsed="false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8"/>
      <c r="Q295" s="8"/>
      <c r="R295" s="7"/>
      <c r="S295" s="8"/>
      <c r="T295" s="8"/>
      <c r="U295" s="7"/>
      <c r="V295" s="7"/>
      <c r="W295" s="7"/>
      <c r="X295" s="8"/>
      <c r="Y295" s="7"/>
      <c r="Z295" s="8" t="str">
        <f aca="false">IF(S295="","",S295-N(X295))</f>
        <v/>
      </c>
      <c r="AA295" s="7"/>
    </row>
    <row r="296" customFormat="false" ht="15" hidden="false" customHeight="fals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8"/>
      <c r="Q296" s="8"/>
      <c r="R296" s="7"/>
      <c r="S296" s="8"/>
      <c r="T296" s="8"/>
      <c r="U296" s="7"/>
      <c r="V296" s="7"/>
      <c r="W296" s="7"/>
      <c r="X296" s="8"/>
      <c r="Y296" s="7"/>
      <c r="Z296" s="8" t="str">
        <f aca="false">IF(S296="","",S296-N(X296))</f>
        <v/>
      </c>
      <c r="AA296" s="7"/>
    </row>
    <row r="297" customFormat="false" ht="15" hidden="false" customHeight="fals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8"/>
      <c r="Q297" s="8"/>
      <c r="R297" s="7"/>
      <c r="S297" s="8"/>
      <c r="T297" s="8"/>
      <c r="U297" s="7"/>
      <c r="V297" s="7"/>
      <c r="W297" s="7"/>
      <c r="X297" s="8"/>
      <c r="Y297" s="7"/>
      <c r="Z297" s="8" t="str">
        <f aca="false">IF(S297="","",S297-N(X297))</f>
        <v/>
      </c>
      <c r="AA297" s="7"/>
    </row>
    <row r="298" customFormat="false" ht="15" hidden="false" customHeight="fals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8"/>
      <c r="Q298" s="8"/>
      <c r="R298" s="7"/>
      <c r="S298" s="8"/>
      <c r="T298" s="8"/>
      <c r="U298" s="7"/>
      <c r="V298" s="7"/>
      <c r="W298" s="7"/>
      <c r="X298" s="8"/>
      <c r="Y298" s="7"/>
      <c r="Z298" s="8" t="str">
        <f aca="false">IF(S298="","",S298-N(X298))</f>
        <v/>
      </c>
      <c r="AA298" s="7"/>
    </row>
    <row r="299" customFormat="false" ht="15" hidden="false" customHeight="fals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8"/>
      <c r="Q299" s="8"/>
      <c r="R299" s="7"/>
      <c r="S299" s="8"/>
      <c r="T299" s="8"/>
      <c r="U299" s="7"/>
      <c r="V299" s="7"/>
      <c r="W299" s="7"/>
      <c r="X299" s="8"/>
      <c r="Y299" s="7"/>
      <c r="Z299" s="8" t="str">
        <f aca="false">IF(S299="","",S299-N(X299))</f>
        <v/>
      </c>
      <c r="AA299" s="7"/>
    </row>
    <row r="300" customFormat="false" ht="15" hidden="false" customHeight="fals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8"/>
      <c r="Q300" s="8"/>
      <c r="R300" s="7"/>
      <c r="S300" s="8"/>
      <c r="T300" s="8"/>
      <c r="U300" s="7"/>
      <c r="V300" s="7"/>
      <c r="W300" s="7"/>
      <c r="X300" s="8"/>
      <c r="Y300" s="7"/>
      <c r="Z300" s="8" t="str">
        <f aca="false">IF(S300="","",S300-N(X300))</f>
        <v/>
      </c>
      <c r="AA300" s="7"/>
    </row>
    <row r="301" customFormat="false" ht="15" hidden="false" customHeight="false" outlineLevel="0" collapsed="false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8"/>
      <c r="Q301" s="8"/>
      <c r="R301" s="7"/>
      <c r="S301" s="8"/>
      <c r="T301" s="8"/>
      <c r="U301" s="7"/>
      <c r="V301" s="7"/>
      <c r="W301" s="7"/>
      <c r="X301" s="8"/>
      <c r="Y301" s="7"/>
      <c r="Z301" s="8" t="str">
        <f aca="false">IF(S301="","",S301-N(X301))</f>
        <v/>
      </c>
      <c r="AA301" s="7"/>
    </row>
    <row r="302" customFormat="false" ht="15" hidden="false" customHeight="false" outlineLevel="0" collapsed="false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8"/>
      <c r="Q302" s="8"/>
      <c r="R302" s="7"/>
      <c r="S302" s="8"/>
      <c r="T302" s="8"/>
      <c r="U302" s="7"/>
      <c r="V302" s="7"/>
      <c r="W302" s="7"/>
      <c r="X302" s="8"/>
      <c r="Y302" s="7"/>
      <c r="Z302" s="8" t="str">
        <f aca="false">IF(S302="","",S302-N(X302))</f>
        <v/>
      </c>
      <c r="AA302" s="7"/>
    </row>
    <row r="303" customFormat="false" ht="15" hidden="false" customHeight="false" outlineLevel="0" collapsed="false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8"/>
      <c r="Q303" s="8"/>
      <c r="R303" s="7"/>
      <c r="S303" s="8"/>
      <c r="T303" s="8"/>
      <c r="U303" s="7"/>
      <c r="V303" s="7"/>
      <c r="W303" s="7"/>
      <c r="X303" s="8"/>
      <c r="Y303" s="7"/>
      <c r="Z303" s="8" t="str">
        <f aca="false">IF(S303="","",S303-N(X303))</f>
        <v/>
      </c>
      <c r="AA303" s="7"/>
    </row>
    <row r="304" customFormat="false" ht="15" hidden="false" customHeight="false" outlineLevel="0" collapsed="false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8"/>
      <c r="Q304" s="8"/>
      <c r="R304" s="7"/>
      <c r="S304" s="8"/>
      <c r="T304" s="8"/>
      <c r="U304" s="7"/>
      <c r="V304" s="7"/>
      <c r="W304" s="7"/>
      <c r="X304" s="8"/>
      <c r="Y304" s="7"/>
      <c r="Z304" s="8" t="str">
        <f aca="false">IF(S304="","",S304-N(X304))</f>
        <v/>
      </c>
      <c r="AA304" s="7"/>
    </row>
    <row r="305" customFormat="false" ht="15" hidden="false" customHeight="false" outlineLevel="0" collapsed="false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8"/>
      <c r="Q305" s="8"/>
      <c r="R305" s="7"/>
      <c r="S305" s="8"/>
      <c r="T305" s="8"/>
      <c r="U305" s="7"/>
      <c r="V305" s="7"/>
      <c r="W305" s="7"/>
      <c r="X305" s="8"/>
      <c r="Y305" s="7"/>
      <c r="Z305" s="8" t="str">
        <f aca="false">IF(S305="","",S305-N(X305))</f>
        <v/>
      </c>
      <c r="AA305" s="7"/>
    </row>
    <row r="306" customFormat="false" ht="15" hidden="false" customHeight="false" outlineLevel="0" collapsed="false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8"/>
      <c r="Q306" s="8"/>
      <c r="R306" s="7"/>
      <c r="S306" s="8"/>
      <c r="T306" s="8"/>
      <c r="U306" s="7"/>
      <c r="V306" s="7"/>
      <c r="W306" s="7"/>
      <c r="X306" s="8"/>
      <c r="Y306" s="7"/>
      <c r="Z306" s="8" t="str">
        <f aca="false">IF(S306="","",S306-N(X306))</f>
        <v/>
      </c>
      <c r="AA306" s="7"/>
    </row>
    <row r="307" customFormat="false" ht="15" hidden="false" customHeight="false" outlineLevel="0" collapsed="false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8"/>
      <c r="Q307" s="8"/>
      <c r="R307" s="7"/>
      <c r="S307" s="8"/>
      <c r="T307" s="8"/>
      <c r="U307" s="7"/>
      <c r="V307" s="7"/>
      <c r="W307" s="7"/>
      <c r="X307" s="8"/>
      <c r="Y307" s="7"/>
      <c r="Z307" s="8" t="str">
        <f aca="false">IF(S307="","",S307-N(X307))</f>
        <v/>
      </c>
      <c r="AA307" s="7"/>
    </row>
    <row r="308" customFormat="false" ht="15" hidden="false" customHeight="false" outlineLevel="0" collapsed="false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8"/>
      <c r="Q308" s="8"/>
      <c r="R308" s="7"/>
      <c r="S308" s="8"/>
      <c r="T308" s="8"/>
      <c r="U308" s="7"/>
      <c r="V308" s="7"/>
      <c r="W308" s="7"/>
      <c r="X308" s="8"/>
      <c r="Y308" s="7"/>
      <c r="Z308" s="8" t="str">
        <f aca="false">IF(S308="","",S308-N(X308))</f>
        <v/>
      </c>
      <c r="AA308" s="7"/>
    </row>
    <row r="309" customFormat="false" ht="15" hidden="false" customHeight="false" outlineLevel="0" collapsed="false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8"/>
      <c r="Q309" s="8"/>
      <c r="R309" s="7"/>
      <c r="S309" s="8"/>
      <c r="T309" s="8"/>
      <c r="U309" s="7"/>
      <c r="V309" s="7"/>
      <c r="W309" s="7"/>
      <c r="X309" s="8"/>
      <c r="Y309" s="7"/>
      <c r="Z309" s="8" t="str">
        <f aca="false">IF(S309="","",S309-N(X309))</f>
        <v/>
      </c>
      <c r="AA309" s="7"/>
    </row>
    <row r="310" customFormat="false" ht="15" hidden="false" customHeight="false" outlineLevel="0" collapsed="false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8"/>
      <c r="Q310" s="8"/>
      <c r="R310" s="7"/>
      <c r="S310" s="8"/>
      <c r="T310" s="8"/>
      <c r="U310" s="7"/>
      <c r="V310" s="7"/>
      <c r="W310" s="7"/>
      <c r="X310" s="8"/>
      <c r="Y310" s="7"/>
      <c r="Z310" s="8" t="str">
        <f aca="false">IF(S310="","",S310-N(X310))</f>
        <v/>
      </c>
      <c r="AA310" s="7"/>
    </row>
    <row r="311" customFormat="false" ht="15" hidden="false" customHeight="false" outlineLevel="0" collapsed="false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8"/>
      <c r="Q311" s="8"/>
      <c r="R311" s="7"/>
      <c r="S311" s="8"/>
      <c r="T311" s="8"/>
      <c r="U311" s="7"/>
      <c r="V311" s="7"/>
      <c r="W311" s="7"/>
      <c r="X311" s="8"/>
      <c r="Y311" s="7"/>
      <c r="Z311" s="8" t="str">
        <f aca="false">IF(S311="","",S311-N(X311))</f>
        <v/>
      </c>
      <c r="AA311" s="7"/>
    </row>
    <row r="312" customFormat="false" ht="15" hidden="false" customHeight="false" outlineLevel="0" collapsed="false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8"/>
      <c r="Q312" s="8"/>
      <c r="R312" s="7"/>
      <c r="S312" s="8"/>
      <c r="T312" s="8"/>
      <c r="U312" s="7"/>
      <c r="V312" s="7"/>
      <c r="W312" s="7"/>
      <c r="X312" s="8"/>
      <c r="Y312" s="7"/>
      <c r="Z312" s="8" t="str">
        <f aca="false">IF(S312="","",S312-N(X312))</f>
        <v/>
      </c>
      <c r="AA312" s="7"/>
    </row>
    <row r="313" customFormat="false" ht="15" hidden="false" customHeight="false" outlineLevel="0" collapsed="false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8"/>
      <c r="Q313" s="8"/>
      <c r="R313" s="7"/>
      <c r="S313" s="8"/>
      <c r="T313" s="8"/>
      <c r="U313" s="7"/>
      <c r="V313" s="7"/>
      <c r="W313" s="7"/>
      <c r="X313" s="8"/>
      <c r="Y313" s="7"/>
      <c r="Z313" s="8" t="str">
        <f aca="false">IF(S313="","",S313-N(X313))</f>
        <v/>
      </c>
      <c r="AA313" s="7"/>
    </row>
    <row r="314" customFormat="false" ht="15" hidden="false" customHeight="false" outlineLevel="0" collapsed="false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8"/>
      <c r="Q314" s="8"/>
      <c r="R314" s="7"/>
      <c r="S314" s="8"/>
      <c r="T314" s="8"/>
      <c r="U314" s="7"/>
      <c r="V314" s="7"/>
      <c r="W314" s="7"/>
      <c r="X314" s="8"/>
      <c r="Y314" s="7"/>
      <c r="Z314" s="8" t="str">
        <f aca="false">IF(S314="","",S314-N(X314))</f>
        <v/>
      </c>
      <c r="AA314" s="7"/>
    </row>
    <row r="315" customFormat="false" ht="15" hidden="false" customHeight="false" outlineLevel="0" collapsed="false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8"/>
      <c r="Q315" s="8"/>
      <c r="R315" s="7"/>
      <c r="S315" s="8"/>
      <c r="T315" s="8"/>
      <c r="U315" s="7"/>
      <c r="V315" s="7"/>
      <c r="W315" s="7"/>
      <c r="X315" s="8"/>
      <c r="Y315" s="7"/>
      <c r="Z315" s="8" t="str">
        <f aca="false">IF(S315="","",S315-N(X315))</f>
        <v/>
      </c>
      <c r="AA315" s="7"/>
    </row>
    <row r="316" customFormat="false" ht="15" hidden="false" customHeight="false" outlineLevel="0" collapsed="false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8"/>
      <c r="Q316" s="8"/>
      <c r="R316" s="7"/>
      <c r="S316" s="8"/>
      <c r="T316" s="8"/>
      <c r="U316" s="7"/>
      <c r="V316" s="7"/>
      <c r="W316" s="7"/>
      <c r="X316" s="8"/>
      <c r="Y316" s="7"/>
      <c r="Z316" s="8" t="str">
        <f aca="false">IF(S316="","",S316-N(X316))</f>
        <v/>
      </c>
      <c r="AA316" s="7"/>
    </row>
    <row r="317" customFormat="false" ht="15" hidden="false" customHeight="false" outlineLevel="0" collapsed="false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8"/>
      <c r="Q317" s="8"/>
      <c r="R317" s="7"/>
      <c r="S317" s="8"/>
      <c r="T317" s="8"/>
      <c r="U317" s="7"/>
      <c r="V317" s="7"/>
      <c r="W317" s="7"/>
      <c r="X317" s="8"/>
      <c r="Y317" s="7"/>
      <c r="Z317" s="8" t="str">
        <f aca="false">IF(S317="","",S317-N(X317))</f>
        <v/>
      </c>
      <c r="AA317" s="7"/>
    </row>
    <row r="318" customFormat="false" ht="15" hidden="false" customHeight="false" outlineLevel="0" collapsed="false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8"/>
      <c r="Q318" s="8"/>
      <c r="R318" s="7"/>
      <c r="S318" s="8"/>
      <c r="T318" s="8"/>
      <c r="U318" s="7"/>
      <c r="V318" s="7"/>
      <c r="W318" s="7"/>
      <c r="X318" s="8"/>
      <c r="Y318" s="7"/>
      <c r="Z318" s="8" t="str">
        <f aca="false">IF(S318="","",S318-N(X318))</f>
        <v/>
      </c>
      <c r="AA318" s="7"/>
    </row>
    <row r="319" customFormat="false" ht="15" hidden="false" customHeight="false" outlineLevel="0" collapsed="false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8"/>
      <c r="Q319" s="8"/>
      <c r="R319" s="7"/>
      <c r="S319" s="8"/>
      <c r="T319" s="8"/>
      <c r="U319" s="7"/>
      <c r="V319" s="7"/>
      <c r="W319" s="7"/>
      <c r="X319" s="8"/>
      <c r="Y319" s="7"/>
      <c r="Z319" s="8" t="str">
        <f aca="false">IF(S319="","",S319-N(X319))</f>
        <v/>
      </c>
      <c r="AA319" s="7"/>
    </row>
    <row r="320" customFormat="false" ht="15" hidden="false" customHeight="false" outlineLevel="0" collapsed="false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8"/>
      <c r="Q320" s="8"/>
      <c r="R320" s="7"/>
      <c r="S320" s="8"/>
      <c r="T320" s="8"/>
      <c r="U320" s="7"/>
      <c r="V320" s="7"/>
      <c r="W320" s="7"/>
      <c r="X320" s="8"/>
      <c r="Y320" s="7"/>
      <c r="Z320" s="8" t="str">
        <f aca="false">IF(S320="","",S320-N(X320))</f>
        <v/>
      </c>
      <c r="AA320" s="7"/>
    </row>
    <row r="321" customFormat="false" ht="15" hidden="false" customHeight="false" outlineLevel="0" collapsed="false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8"/>
      <c r="Q321" s="8"/>
      <c r="R321" s="7"/>
      <c r="S321" s="8"/>
      <c r="T321" s="8"/>
      <c r="U321" s="7"/>
      <c r="V321" s="7"/>
      <c r="W321" s="7"/>
      <c r="X321" s="8"/>
      <c r="Y321" s="7"/>
      <c r="Z321" s="8" t="str">
        <f aca="false">IF(S321="","",S321-N(X321))</f>
        <v/>
      </c>
      <c r="AA321" s="7"/>
    </row>
    <row r="322" customFormat="false" ht="15" hidden="false" customHeight="false" outlineLevel="0" collapsed="false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8"/>
      <c r="Q322" s="8"/>
      <c r="R322" s="7"/>
      <c r="S322" s="8"/>
      <c r="T322" s="8"/>
      <c r="U322" s="7"/>
      <c r="V322" s="7"/>
      <c r="W322" s="7"/>
      <c r="X322" s="8"/>
      <c r="Y322" s="7"/>
      <c r="Z322" s="8" t="str">
        <f aca="false">IF(S322="","",S322-N(X322))</f>
        <v/>
      </c>
      <c r="AA322" s="7"/>
    </row>
    <row r="323" customFormat="false" ht="15" hidden="false" customHeight="false" outlineLevel="0" collapsed="false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8"/>
      <c r="Q323" s="8"/>
      <c r="R323" s="7"/>
      <c r="S323" s="8"/>
      <c r="T323" s="8"/>
      <c r="U323" s="7"/>
      <c r="V323" s="7"/>
      <c r="W323" s="7"/>
      <c r="X323" s="8"/>
      <c r="Y323" s="7"/>
      <c r="Z323" s="8" t="str">
        <f aca="false">IF(S323="","",S323-N(X323))</f>
        <v/>
      </c>
      <c r="AA323" s="7"/>
    </row>
    <row r="324" customFormat="false" ht="15" hidden="false" customHeight="false" outlineLevel="0" collapsed="false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8"/>
      <c r="Q324" s="8"/>
      <c r="R324" s="7"/>
      <c r="S324" s="8"/>
      <c r="T324" s="8"/>
      <c r="U324" s="7"/>
      <c r="V324" s="7"/>
      <c r="W324" s="7"/>
      <c r="X324" s="8"/>
      <c r="Y324" s="7"/>
      <c r="Z324" s="8" t="str">
        <f aca="false">IF(S324="","",S324-N(X324))</f>
        <v/>
      </c>
      <c r="AA324" s="7"/>
    </row>
    <row r="325" customFormat="false" ht="15" hidden="false" customHeight="false" outlineLevel="0" collapsed="false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8"/>
      <c r="Q325" s="8"/>
      <c r="R325" s="7"/>
      <c r="S325" s="8"/>
      <c r="T325" s="8"/>
      <c r="U325" s="7"/>
      <c r="V325" s="7"/>
      <c r="W325" s="7"/>
      <c r="X325" s="8"/>
      <c r="Y325" s="7"/>
      <c r="Z325" s="8" t="str">
        <f aca="false">IF(S325="","",S325-N(X325))</f>
        <v/>
      </c>
      <c r="AA325" s="7"/>
    </row>
    <row r="326" customFormat="false" ht="15" hidden="false" customHeight="false" outlineLevel="0" collapsed="false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8"/>
      <c r="Q326" s="8"/>
      <c r="R326" s="7"/>
      <c r="S326" s="8"/>
      <c r="T326" s="8"/>
      <c r="U326" s="7"/>
      <c r="V326" s="7"/>
      <c r="W326" s="7"/>
      <c r="X326" s="8"/>
      <c r="Y326" s="7"/>
      <c r="Z326" s="8" t="str">
        <f aca="false">IF(S326="","",S326-N(X326))</f>
        <v/>
      </c>
      <c r="AA326" s="7"/>
    </row>
    <row r="327" customFormat="false" ht="15" hidden="false" customHeight="false" outlineLevel="0" collapsed="false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8"/>
      <c r="Q327" s="8"/>
      <c r="R327" s="7"/>
      <c r="S327" s="8"/>
      <c r="T327" s="8"/>
      <c r="U327" s="7"/>
      <c r="V327" s="7"/>
      <c r="W327" s="7"/>
      <c r="X327" s="8"/>
      <c r="Y327" s="7"/>
      <c r="Z327" s="8" t="str">
        <f aca="false">IF(S327="","",S327-N(X327))</f>
        <v/>
      </c>
      <c r="AA327" s="7"/>
    </row>
    <row r="328" customFormat="false" ht="15" hidden="false" customHeight="false" outlineLevel="0" collapsed="false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8"/>
      <c r="Q328" s="8"/>
      <c r="R328" s="7"/>
      <c r="S328" s="8"/>
      <c r="T328" s="8"/>
      <c r="U328" s="7"/>
      <c r="V328" s="7"/>
      <c r="W328" s="7"/>
      <c r="X328" s="8"/>
      <c r="Y328" s="7"/>
      <c r="Z328" s="8" t="str">
        <f aca="false">IF(S328="","",S328-N(X328))</f>
        <v/>
      </c>
      <c r="AA328" s="7"/>
    </row>
    <row r="329" customFormat="false" ht="15" hidden="false" customHeight="false" outlineLevel="0" collapsed="false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8"/>
      <c r="Q329" s="8"/>
      <c r="R329" s="7"/>
      <c r="S329" s="8"/>
      <c r="T329" s="8"/>
      <c r="U329" s="7"/>
      <c r="V329" s="7"/>
      <c r="W329" s="7"/>
      <c r="X329" s="8"/>
      <c r="Y329" s="7"/>
      <c r="Z329" s="8" t="str">
        <f aca="false">IF(S329="","",S329-N(X329))</f>
        <v/>
      </c>
      <c r="AA329" s="7"/>
    </row>
    <row r="330" customFormat="false" ht="15" hidden="false" customHeight="false" outlineLevel="0" collapsed="false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8"/>
      <c r="Q330" s="8"/>
      <c r="R330" s="7"/>
      <c r="S330" s="8"/>
      <c r="T330" s="8"/>
      <c r="U330" s="7"/>
      <c r="V330" s="7"/>
      <c r="W330" s="7"/>
      <c r="X330" s="8"/>
      <c r="Y330" s="7"/>
      <c r="Z330" s="8" t="str">
        <f aca="false">IF(S330="","",S330-N(X330))</f>
        <v/>
      </c>
      <c r="AA330" s="7"/>
    </row>
    <row r="331" customFormat="false" ht="15" hidden="false" customHeight="false" outlineLevel="0" collapsed="false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8"/>
      <c r="Q331" s="8"/>
      <c r="R331" s="7"/>
      <c r="S331" s="8"/>
      <c r="T331" s="8"/>
      <c r="U331" s="7"/>
      <c r="V331" s="7"/>
      <c r="W331" s="7"/>
      <c r="X331" s="8"/>
      <c r="Y331" s="7"/>
      <c r="Z331" s="8" t="str">
        <f aca="false">IF(S331="","",S331-N(X331))</f>
        <v/>
      </c>
      <c r="AA331" s="7"/>
    </row>
    <row r="332" customFormat="false" ht="15" hidden="false" customHeight="false" outlineLevel="0" collapsed="false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8"/>
      <c r="Q332" s="8"/>
      <c r="R332" s="7"/>
      <c r="S332" s="8"/>
      <c r="T332" s="8"/>
      <c r="U332" s="7"/>
      <c r="V332" s="7"/>
      <c r="W332" s="7"/>
      <c r="X332" s="8"/>
      <c r="Y332" s="7"/>
      <c r="Z332" s="8" t="str">
        <f aca="false">IF(S332="","",S332-N(X332))</f>
        <v/>
      </c>
      <c r="AA332" s="7"/>
    </row>
    <row r="333" customFormat="false" ht="15" hidden="false" customHeight="false" outlineLevel="0" collapsed="false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8"/>
      <c r="Q333" s="8"/>
      <c r="R333" s="7"/>
      <c r="S333" s="8"/>
      <c r="T333" s="8"/>
      <c r="U333" s="7"/>
      <c r="V333" s="7"/>
      <c r="W333" s="7"/>
      <c r="X333" s="8"/>
      <c r="Y333" s="7"/>
      <c r="Z333" s="8" t="str">
        <f aca="false">IF(S333="","",S333-N(X333))</f>
        <v/>
      </c>
      <c r="AA333" s="7"/>
    </row>
    <row r="334" customFormat="false" ht="15" hidden="false" customHeight="false" outlineLevel="0" collapsed="false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8"/>
      <c r="Q334" s="8"/>
      <c r="R334" s="7"/>
      <c r="S334" s="8"/>
      <c r="T334" s="8"/>
      <c r="U334" s="7"/>
      <c r="V334" s="7"/>
      <c r="W334" s="7"/>
      <c r="X334" s="8"/>
      <c r="Y334" s="7"/>
      <c r="Z334" s="8" t="str">
        <f aca="false">IF(S334="","",S334-N(X334))</f>
        <v/>
      </c>
      <c r="AA334" s="7"/>
    </row>
    <row r="335" customFormat="false" ht="15" hidden="false" customHeight="false" outlineLevel="0" collapsed="false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8"/>
      <c r="Q335" s="8"/>
      <c r="R335" s="7"/>
      <c r="S335" s="8"/>
      <c r="T335" s="8"/>
      <c r="U335" s="7"/>
      <c r="V335" s="7"/>
      <c r="W335" s="7"/>
      <c r="X335" s="8"/>
      <c r="Y335" s="7"/>
      <c r="Z335" s="8" t="str">
        <f aca="false">IF(S335="","",S335-N(X335))</f>
        <v/>
      </c>
      <c r="AA335" s="7"/>
    </row>
    <row r="336" customFormat="false" ht="15" hidden="false" customHeight="false" outlineLevel="0" collapsed="false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8"/>
      <c r="Q336" s="8"/>
      <c r="R336" s="7"/>
      <c r="S336" s="8"/>
      <c r="T336" s="8"/>
      <c r="U336" s="7"/>
      <c r="V336" s="7"/>
      <c r="W336" s="7"/>
      <c r="X336" s="8"/>
      <c r="Y336" s="7"/>
      <c r="Z336" s="8" t="str">
        <f aca="false">IF(S336="","",S336-N(X336))</f>
        <v/>
      </c>
      <c r="AA336" s="7"/>
    </row>
    <row r="337" customFormat="false" ht="15" hidden="false" customHeight="false" outlineLevel="0" collapsed="false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8"/>
      <c r="Q337" s="8"/>
      <c r="R337" s="7"/>
      <c r="S337" s="8"/>
      <c r="T337" s="8"/>
      <c r="U337" s="7"/>
      <c r="V337" s="7"/>
      <c r="W337" s="7"/>
      <c r="X337" s="8"/>
      <c r="Y337" s="7"/>
      <c r="Z337" s="8" t="str">
        <f aca="false">IF(S337="","",S337-N(X337))</f>
        <v/>
      </c>
      <c r="AA337" s="7"/>
    </row>
    <row r="338" customFormat="false" ht="15" hidden="false" customHeight="false" outlineLevel="0" collapsed="false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8"/>
      <c r="Q338" s="8"/>
      <c r="R338" s="7"/>
      <c r="S338" s="8"/>
      <c r="T338" s="8"/>
      <c r="U338" s="7"/>
      <c r="V338" s="7"/>
      <c r="W338" s="7"/>
      <c r="X338" s="8"/>
      <c r="Y338" s="7"/>
      <c r="Z338" s="8" t="str">
        <f aca="false">IF(S338="","",S338-N(X338))</f>
        <v/>
      </c>
      <c r="AA338" s="7"/>
    </row>
    <row r="339" customFormat="false" ht="15" hidden="false" customHeight="false" outlineLevel="0" collapsed="false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8"/>
      <c r="Q339" s="8"/>
      <c r="R339" s="7"/>
      <c r="S339" s="8"/>
      <c r="T339" s="8"/>
      <c r="U339" s="7"/>
      <c r="V339" s="7"/>
      <c r="W339" s="7"/>
      <c r="X339" s="8"/>
      <c r="Y339" s="7"/>
      <c r="Z339" s="8" t="str">
        <f aca="false">IF(S339="","",S339-N(X339))</f>
        <v/>
      </c>
      <c r="AA339" s="7"/>
    </row>
    <row r="340" customFormat="false" ht="15" hidden="false" customHeight="false" outlineLevel="0" collapsed="false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8"/>
      <c r="Q340" s="8"/>
      <c r="R340" s="7"/>
      <c r="S340" s="8"/>
      <c r="T340" s="8"/>
      <c r="U340" s="7"/>
      <c r="V340" s="7"/>
      <c r="W340" s="7"/>
      <c r="X340" s="8"/>
      <c r="Y340" s="7"/>
      <c r="Z340" s="8" t="str">
        <f aca="false">IF(S340="","",S340-N(X340))</f>
        <v/>
      </c>
      <c r="AA340" s="7"/>
    </row>
    <row r="341" customFormat="false" ht="15" hidden="false" customHeight="false" outlineLevel="0" collapsed="false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8"/>
      <c r="Q341" s="8"/>
      <c r="R341" s="7"/>
      <c r="S341" s="8"/>
      <c r="T341" s="8"/>
      <c r="U341" s="7"/>
      <c r="V341" s="7"/>
      <c r="W341" s="7"/>
      <c r="X341" s="8"/>
      <c r="Y341" s="7"/>
      <c r="Z341" s="8" t="str">
        <f aca="false">IF(S341="","",S341-N(X341))</f>
        <v/>
      </c>
      <c r="AA341" s="7"/>
    </row>
    <row r="342" customFormat="false" ht="15" hidden="false" customHeight="false" outlineLevel="0" collapsed="false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8"/>
      <c r="Q342" s="8"/>
      <c r="R342" s="7"/>
      <c r="S342" s="8"/>
      <c r="T342" s="8"/>
      <c r="U342" s="7"/>
      <c r="V342" s="7"/>
      <c r="W342" s="7"/>
      <c r="X342" s="8"/>
      <c r="Y342" s="7"/>
      <c r="Z342" s="8" t="str">
        <f aca="false">IF(S342="","",S342-N(X342))</f>
        <v/>
      </c>
      <c r="AA342" s="7"/>
    </row>
    <row r="343" customFormat="false" ht="15" hidden="false" customHeight="false" outlineLevel="0" collapsed="false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8"/>
      <c r="Q343" s="8"/>
      <c r="R343" s="7"/>
      <c r="S343" s="8"/>
      <c r="T343" s="8"/>
      <c r="U343" s="7"/>
      <c r="V343" s="7"/>
      <c r="W343" s="7"/>
      <c r="X343" s="8"/>
      <c r="Y343" s="7"/>
      <c r="Z343" s="8" t="str">
        <f aca="false">IF(S343="","",S343-N(X343))</f>
        <v/>
      </c>
      <c r="AA343" s="7"/>
    </row>
    <row r="344" customFormat="false" ht="15" hidden="false" customHeight="false" outlineLevel="0" collapsed="false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8"/>
      <c r="Q344" s="8"/>
      <c r="R344" s="7"/>
      <c r="S344" s="8"/>
      <c r="T344" s="8"/>
      <c r="U344" s="7"/>
      <c r="V344" s="7"/>
      <c r="W344" s="7"/>
      <c r="X344" s="8"/>
      <c r="Y344" s="7"/>
      <c r="Z344" s="8" t="str">
        <f aca="false">IF(S344="","",S344-N(X344))</f>
        <v/>
      </c>
      <c r="AA344" s="7"/>
    </row>
    <row r="345" customFormat="false" ht="15" hidden="false" customHeight="false" outlineLevel="0" collapsed="false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8"/>
      <c r="Q345" s="8"/>
      <c r="R345" s="7"/>
      <c r="S345" s="8"/>
      <c r="T345" s="8"/>
      <c r="U345" s="7"/>
      <c r="V345" s="7"/>
      <c r="W345" s="7"/>
      <c r="X345" s="8"/>
      <c r="Y345" s="7"/>
      <c r="Z345" s="8" t="str">
        <f aca="false">IF(S345="","",S345-N(X345))</f>
        <v/>
      </c>
      <c r="AA345" s="7"/>
    </row>
    <row r="346" customFormat="false" ht="15" hidden="false" customHeight="false" outlineLevel="0" collapsed="false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8"/>
      <c r="Q346" s="8"/>
      <c r="R346" s="7"/>
      <c r="S346" s="8"/>
      <c r="T346" s="8"/>
      <c r="U346" s="7"/>
      <c r="V346" s="7"/>
      <c r="W346" s="7"/>
      <c r="X346" s="8"/>
      <c r="Y346" s="7"/>
      <c r="Z346" s="8" t="str">
        <f aca="false">IF(S346="","",S346-N(X346))</f>
        <v/>
      </c>
      <c r="AA346" s="7"/>
    </row>
    <row r="347" customFormat="false" ht="15" hidden="false" customHeight="false" outlineLevel="0" collapsed="false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8"/>
      <c r="Q347" s="8"/>
      <c r="R347" s="7"/>
      <c r="S347" s="8"/>
      <c r="T347" s="8"/>
      <c r="U347" s="7"/>
      <c r="V347" s="7"/>
      <c r="W347" s="7"/>
      <c r="X347" s="8"/>
      <c r="Y347" s="7"/>
      <c r="Z347" s="8" t="str">
        <f aca="false">IF(S347="","",S347-N(X347))</f>
        <v/>
      </c>
      <c r="AA347" s="7"/>
    </row>
    <row r="348" customFormat="false" ht="15" hidden="false" customHeight="false" outlineLevel="0" collapsed="false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8"/>
      <c r="Q348" s="8"/>
      <c r="R348" s="7"/>
      <c r="S348" s="8"/>
      <c r="T348" s="8"/>
      <c r="U348" s="7"/>
      <c r="V348" s="7"/>
      <c r="W348" s="7"/>
      <c r="X348" s="8"/>
      <c r="Y348" s="7"/>
      <c r="Z348" s="8" t="str">
        <f aca="false">IF(S348="","",S348-N(X348))</f>
        <v/>
      </c>
      <c r="AA348" s="7"/>
    </row>
    <row r="349" customFormat="false" ht="15" hidden="false" customHeight="false" outlineLevel="0" collapsed="false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8"/>
      <c r="Q349" s="8"/>
      <c r="R349" s="7"/>
      <c r="S349" s="8"/>
      <c r="T349" s="8"/>
      <c r="U349" s="7"/>
      <c r="V349" s="7"/>
      <c r="W349" s="7"/>
      <c r="X349" s="8"/>
      <c r="Y349" s="7"/>
      <c r="Z349" s="8" t="str">
        <f aca="false">IF(S349="","",S349-N(X349))</f>
        <v/>
      </c>
      <c r="AA349" s="7"/>
    </row>
    <row r="350" customFormat="false" ht="15" hidden="false" customHeight="false" outlineLevel="0" collapsed="false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8"/>
      <c r="Q350" s="8"/>
      <c r="R350" s="7"/>
      <c r="S350" s="8"/>
      <c r="T350" s="8"/>
      <c r="U350" s="7"/>
      <c r="V350" s="7"/>
      <c r="W350" s="7"/>
      <c r="X350" s="8"/>
      <c r="Y350" s="7"/>
      <c r="Z350" s="8" t="str">
        <f aca="false">IF(S350="","",S350-N(X350))</f>
        <v/>
      </c>
      <c r="AA350" s="7"/>
    </row>
    <row r="351" customFormat="false" ht="15" hidden="false" customHeight="false" outlineLevel="0" collapsed="false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8"/>
      <c r="Q351" s="8"/>
      <c r="R351" s="7"/>
      <c r="S351" s="8"/>
      <c r="T351" s="8"/>
      <c r="U351" s="7"/>
      <c r="V351" s="7"/>
      <c r="W351" s="7"/>
      <c r="X351" s="8"/>
      <c r="Y351" s="7"/>
      <c r="Z351" s="8" t="str">
        <f aca="false">IF(S351="","",S351-N(X351))</f>
        <v/>
      </c>
      <c r="AA351" s="7"/>
    </row>
    <row r="352" customFormat="false" ht="15" hidden="false" customHeight="false" outlineLevel="0" collapsed="false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8"/>
      <c r="Q352" s="8"/>
      <c r="R352" s="7"/>
      <c r="S352" s="8"/>
      <c r="T352" s="8"/>
      <c r="U352" s="7"/>
      <c r="V352" s="7"/>
      <c r="W352" s="7"/>
      <c r="X352" s="8"/>
      <c r="Y352" s="7"/>
      <c r="Z352" s="8" t="str">
        <f aca="false">IF(S352="","",S352-N(X352))</f>
        <v/>
      </c>
      <c r="AA352" s="7"/>
    </row>
    <row r="353" customFormat="false" ht="15" hidden="false" customHeight="false" outlineLevel="0" collapsed="false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8"/>
      <c r="Q353" s="8"/>
      <c r="R353" s="7"/>
      <c r="S353" s="8"/>
      <c r="T353" s="8"/>
      <c r="U353" s="7"/>
      <c r="V353" s="7"/>
      <c r="W353" s="7"/>
      <c r="X353" s="8"/>
      <c r="Y353" s="7"/>
      <c r="Z353" s="8" t="str">
        <f aca="false">IF(S353="","",S353-N(X353))</f>
        <v/>
      </c>
      <c r="AA353" s="7"/>
    </row>
    <row r="354" customFormat="false" ht="15" hidden="false" customHeight="false" outlineLevel="0" collapsed="false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8"/>
      <c r="Q354" s="8"/>
      <c r="R354" s="7"/>
      <c r="S354" s="8"/>
      <c r="T354" s="8"/>
      <c r="U354" s="7"/>
      <c r="V354" s="7"/>
      <c r="W354" s="7"/>
      <c r="X354" s="8"/>
      <c r="Y354" s="7"/>
      <c r="Z354" s="8" t="str">
        <f aca="false">IF(S354="","",S354-N(X354))</f>
        <v/>
      </c>
      <c r="AA354" s="7"/>
    </row>
    <row r="355" customFormat="false" ht="15" hidden="false" customHeight="false" outlineLevel="0" collapsed="false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8"/>
      <c r="Q355" s="8"/>
      <c r="R355" s="7"/>
      <c r="S355" s="8"/>
      <c r="T355" s="8"/>
      <c r="U355" s="7"/>
      <c r="V355" s="7"/>
      <c r="W355" s="7"/>
      <c r="X355" s="8"/>
      <c r="Y355" s="7"/>
      <c r="Z355" s="8" t="str">
        <f aca="false">IF(S355="","",S355-N(X355))</f>
        <v/>
      </c>
      <c r="AA355" s="7"/>
    </row>
    <row r="356" customFormat="false" ht="15" hidden="false" customHeight="false" outlineLevel="0" collapsed="false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8"/>
      <c r="Q356" s="8"/>
      <c r="R356" s="7"/>
      <c r="S356" s="8"/>
      <c r="T356" s="8"/>
      <c r="U356" s="7"/>
      <c r="V356" s="7"/>
      <c r="W356" s="7"/>
      <c r="X356" s="8"/>
      <c r="Y356" s="7"/>
      <c r="Z356" s="8" t="str">
        <f aca="false">IF(S356="","",S356-N(X356))</f>
        <v/>
      </c>
      <c r="AA356" s="7"/>
    </row>
    <row r="357" customFormat="false" ht="15" hidden="false" customHeight="false" outlineLevel="0" collapsed="false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8"/>
      <c r="Q357" s="8"/>
      <c r="R357" s="7"/>
      <c r="S357" s="8"/>
      <c r="T357" s="8"/>
      <c r="U357" s="7"/>
      <c r="V357" s="7"/>
      <c r="W357" s="7"/>
      <c r="X357" s="8"/>
      <c r="Y357" s="7"/>
      <c r="Z357" s="8" t="str">
        <f aca="false">IF(S357="","",S357-N(X357))</f>
        <v/>
      </c>
      <c r="AA357" s="7"/>
    </row>
    <row r="358" customFormat="false" ht="15" hidden="false" customHeight="false" outlineLevel="0" collapsed="false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8"/>
      <c r="Q358" s="8"/>
      <c r="R358" s="7"/>
      <c r="S358" s="8"/>
      <c r="T358" s="8"/>
      <c r="U358" s="7"/>
      <c r="V358" s="7"/>
      <c r="W358" s="7"/>
      <c r="X358" s="8"/>
      <c r="Y358" s="7"/>
      <c r="Z358" s="8" t="str">
        <f aca="false">IF(S358="","",S358-N(X358))</f>
        <v/>
      </c>
      <c r="AA358" s="7"/>
    </row>
    <row r="359" customFormat="false" ht="15" hidden="false" customHeight="false" outlineLevel="0" collapsed="false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8"/>
      <c r="Q359" s="8"/>
      <c r="R359" s="7"/>
      <c r="S359" s="8"/>
      <c r="T359" s="8"/>
      <c r="U359" s="7"/>
      <c r="V359" s="7"/>
      <c r="W359" s="7"/>
      <c r="X359" s="8"/>
      <c r="Y359" s="7"/>
      <c r="Z359" s="8" t="str">
        <f aca="false">IF(S359="","",S359-N(X359))</f>
        <v/>
      </c>
      <c r="AA359" s="7"/>
    </row>
    <row r="360" customFormat="false" ht="15" hidden="false" customHeight="false" outlineLevel="0" collapsed="false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8"/>
      <c r="Q360" s="8"/>
      <c r="R360" s="7"/>
      <c r="S360" s="8"/>
      <c r="T360" s="8"/>
      <c r="U360" s="7"/>
      <c r="V360" s="7"/>
      <c r="W360" s="7"/>
      <c r="X360" s="8"/>
      <c r="Y360" s="7"/>
      <c r="Z360" s="8" t="str">
        <f aca="false">IF(S360="","",S360-N(X360))</f>
        <v/>
      </c>
      <c r="AA360" s="7"/>
    </row>
    <row r="361" customFormat="false" ht="15" hidden="false" customHeight="false" outlineLevel="0" collapsed="false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8"/>
      <c r="Q361" s="8"/>
      <c r="R361" s="7"/>
      <c r="S361" s="8"/>
      <c r="T361" s="8"/>
      <c r="U361" s="7"/>
      <c r="V361" s="7"/>
      <c r="W361" s="7"/>
      <c r="X361" s="8"/>
      <c r="Y361" s="7"/>
      <c r="Z361" s="8" t="str">
        <f aca="false">IF(S361="","",S361-N(X361))</f>
        <v/>
      </c>
      <c r="AA361" s="7"/>
    </row>
    <row r="362" customFormat="false" ht="15" hidden="false" customHeight="false" outlineLevel="0" collapsed="false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8"/>
      <c r="Q362" s="8"/>
      <c r="R362" s="7"/>
      <c r="S362" s="8"/>
      <c r="T362" s="8"/>
      <c r="U362" s="7"/>
      <c r="V362" s="7"/>
      <c r="W362" s="7"/>
      <c r="X362" s="8"/>
      <c r="Y362" s="7"/>
      <c r="Z362" s="8" t="str">
        <f aca="false">IF(S362="","",S362-N(X362))</f>
        <v/>
      </c>
      <c r="AA362" s="7"/>
    </row>
    <row r="363" customFormat="false" ht="15" hidden="false" customHeight="false" outlineLevel="0" collapsed="false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8"/>
      <c r="Q363" s="8"/>
      <c r="R363" s="7"/>
      <c r="S363" s="8"/>
      <c r="T363" s="8"/>
      <c r="U363" s="7"/>
      <c r="V363" s="7"/>
      <c r="W363" s="7"/>
      <c r="X363" s="8"/>
      <c r="Y363" s="7"/>
      <c r="Z363" s="8" t="str">
        <f aca="false">IF(S363="","",S363-N(X363))</f>
        <v/>
      </c>
      <c r="AA363" s="7"/>
    </row>
    <row r="364" customFormat="false" ht="15" hidden="false" customHeight="false" outlineLevel="0" collapsed="false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8"/>
      <c r="Q364" s="8"/>
      <c r="R364" s="7"/>
      <c r="S364" s="8"/>
      <c r="T364" s="8"/>
      <c r="U364" s="7"/>
      <c r="V364" s="7"/>
      <c r="W364" s="7"/>
      <c r="X364" s="8"/>
      <c r="Y364" s="7"/>
      <c r="Z364" s="8" t="str">
        <f aca="false">IF(S364="","",S364-N(X364))</f>
        <v/>
      </c>
      <c r="AA364" s="7"/>
    </row>
    <row r="365" customFormat="false" ht="15" hidden="false" customHeight="false" outlineLevel="0" collapsed="false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8"/>
      <c r="Q365" s="8"/>
      <c r="R365" s="7"/>
      <c r="S365" s="8"/>
      <c r="T365" s="8"/>
      <c r="U365" s="7"/>
      <c r="V365" s="7"/>
      <c r="W365" s="7"/>
      <c r="X365" s="8"/>
      <c r="Y365" s="7"/>
      <c r="Z365" s="8" t="str">
        <f aca="false">IF(S365="","",S365-N(X365))</f>
        <v/>
      </c>
      <c r="AA365" s="7"/>
    </row>
    <row r="366" customFormat="false" ht="15" hidden="false" customHeight="false" outlineLevel="0" collapsed="false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8"/>
      <c r="Q366" s="8"/>
      <c r="R366" s="7"/>
      <c r="S366" s="8"/>
      <c r="T366" s="8"/>
      <c r="U366" s="7"/>
      <c r="V366" s="7"/>
      <c r="W366" s="7"/>
      <c r="X366" s="8"/>
      <c r="Y366" s="7"/>
      <c r="Z366" s="8" t="str">
        <f aca="false">IF(S366="","",S366-N(X366))</f>
        <v/>
      </c>
      <c r="AA366" s="7"/>
    </row>
    <row r="367" customFormat="false" ht="15" hidden="false" customHeight="false" outlineLevel="0" collapsed="false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8"/>
      <c r="Q367" s="8"/>
      <c r="R367" s="7"/>
      <c r="S367" s="8"/>
      <c r="T367" s="8"/>
      <c r="U367" s="7"/>
      <c r="V367" s="7"/>
      <c r="W367" s="7"/>
      <c r="X367" s="8"/>
      <c r="Y367" s="7"/>
      <c r="Z367" s="8" t="str">
        <f aca="false">IF(S367="","",S367-N(X367))</f>
        <v/>
      </c>
      <c r="AA367" s="7"/>
    </row>
    <row r="368" customFormat="false" ht="15" hidden="false" customHeight="false" outlineLevel="0" collapsed="false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8"/>
      <c r="Q368" s="8"/>
      <c r="R368" s="7"/>
      <c r="S368" s="8"/>
      <c r="T368" s="8"/>
      <c r="U368" s="7"/>
      <c r="V368" s="7"/>
      <c r="W368" s="7"/>
      <c r="X368" s="8"/>
      <c r="Y368" s="7"/>
      <c r="Z368" s="8" t="str">
        <f aca="false">IF(S368="","",S368-N(X368))</f>
        <v/>
      </c>
      <c r="AA368" s="7"/>
    </row>
    <row r="369" customFormat="false" ht="15" hidden="false" customHeight="false" outlineLevel="0" collapsed="false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8"/>
      <c r="Q369" s="8"/>
      <c r="R369" s="7"/>
      <c r="S369" s="8"/>
      <c r="T369" s="8"/>
      <c r="U369" s="7"/>
      <c r="V369" s="7"/>
      <c r="W369" s="7"/>
      <c r="X369" s="8"/>
      <c r="Y369" s="7"/>
      <c r="Z369" s="8" t="str">
        <f aca="false">IF(S369="","",S369-N(X369))</f>
        <v/>
      </c>
      <c r="AA369" s="7"/>
    </row>
    <row r="370" customFormat="false" ht="15" hidden="false" customHeight="false" outlineLevel="0" collapsed="false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8"/>
      <c r="Q370" s="8"/>
      <c r="R370" s="7"/>
      <c r="S370" s="8"/>
      <c r="T370" s="8"/>
      <c r="U370" s="7"/>
      <c r="V370" s="7"/>
      <c r="W370" s="7"/>
      <c r="X370" s="8"/>
      <c r="Y370" s="7"/>
      <c r="Z370" s="8" t="str">
        <f aca="false">IF(S370="","",S370-N(X370))</f>
        <v/>
      </c>
      <c r="AA370" s="7"/>
    </row>
    <row r="371" customFormat="false" ht="15" hidden="false" customHeight="false" outlineLevel="0" collapsed="false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8"/>
      <c r="Q371" s="8"/>
      <c r="R371" s="7"/>
      <c r="S371" s="8"/>
      <c r="T371" s="8"/>
      <c r="U371" s="7"/>
      <c r="V371" s="7"/>
      <c r="W371" s="7"/>
      <c r="X371" s="8"/>
      <c r="Y371" s="7"/>
      <c r="Z371" s="8" t="str">
        <f aca="false">IF(S371="","",S371-N(X371))</f>
        <v/>
      </c>
      <c r="AA371" s="7"/>
    </row>
    <row r="372" customFormat="false" ht="15" hidden="false" customHeight="false" outlineLevel="0" collapsed="false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8"/>
      <c r="Q372" s="8"/>
      <c r="R372" s="7"/>
      <c r="S372" s="8"/>
      <c r="T372" s="8"/>
      <c r="U372" s="7"/>
      <c r="V372" s="7"/>
      <c r="W372" s="7"/>
      <c r="X372" s="8"/>
      <c r="Y372" s="7"/>
      <c r="Z372" s="8" t="str">
        <f aca="false">IF(S372="","",S372-N(X372))</f>
        <v/>
      </c>
      <c r="AA372" s="7"/>
    </row>
    <row r="373" customFormat="false" ht="15" hidden="false" customHeight="false" outlineLevel="0" collapsed="false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8"/>
      <c r="Q373" s="8"/>
      <c r="R373" s="7"/>
      <c r="S373" s="8"/>
      <c r="T373" s="8"/>
      <c r="U373" s="7"/>
      <c r="V373" s="7"/>
      <c r="W373" s="7"/>
      <c r="X373" s="8"/>
      <c r="Y373" s="7"/>
      <c r="Z373" s="8" t="str">
        <f aca="false">IF(S373="","",S373-N(X373))</f>
        <v/>
      </c>
      <c r="AA373" s="7"/>
    </row>
    <row r="374" customFormat="false" ht="15" hidden="false" customHeight="false" outlineLevel="0" collapsed="false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8"/>
      <c r="Q374" s="8"/>
      <c r="R374" s="7"/>
      <c r="S374" s="8"/>
      <c r="T374" s="8"/>
      <c r="U374" s="7"/>
      <c r="V374" s="7"/>
      <c r="W374" s="7"/>
      <c r="X374" s="8"/>
      <c r="Y374" s="7"/>
      <c r="Z374" s="8" t="str">
        <f aca="false">IF(S374="","",S374-N(X374))</f>
        <v/>
      </c>
      <c r="AA374" s="7"/>
    </row>
    <row r="375" customFormat="false" ht="15" hidden="false" customHeight="false" outlineLevel="0" collapsed="false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8"/>
      <c r="Q375" s="8"/>
      <c r="R375" s="7"/>
      <c r="S375" s="8"/>
      <c r="T375" s="8"/>
      <c r="U375" s="7"/>
      <c r="V375" s="7"/>
      <c r="W375" s="7"/>
      <c r="X375" s="8"/>
      <c r="Y375" s="7"/>
      <c r="Z375" s="8" t="str">
        <f aca="false">IF(S375="","",S375-N(X375))</f>
        <v/>
      </c>
      <c r="AA375" s="7"/>
    </row>
    <row r="376" customFormat="false" ht="15" hidden="false" customHeight="false" outlineLevel="0" collapsed="false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8"/>
      <c r="Q376" s="8"/>
      <c r="R376" s="7"/>
      <c r="S376" s="8"/>
      <c r="T376" s="8"/>
      <c r="U376" s="7"/>
      <c r="V376" s="7"/>
      <c r="W376" s="7"/>
      <c r="X376" s="8"/>
      <c r="Y376" s="7"/>
      <c r="Z376" s="8" t="str">
        <f aca="false">IF(S376="","",S376-N(X376))</f>
        <v/>
      </c>
      <c r="AA376" s="7"/>
    </row>
    <row r="377" customFormat="false" ht="15" hidden="false" customHeight="false" outlineLevel="0" collapsed="false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8"/>
      <c r="Q377" s="8"/>
      <c r="R377" s="7"/>
      <c r="S377" s="8"/>
      <c r="T377" s="8"/>
      <c r="U377" s="7"/>
      <c r="V377" s="7"/>
      <c r="W377" s="7"/>
      <c r="X377" s="8"/>
      <c r="Y377" s="7"/>
      <c r="Z377" s="8" t="str">
        <f aca="false">IF(S377="","",S377-N(X377))</f>
        <v/>
      </c>
      <c r="AA377" s="7"/>
    </row>
    <row r="378" customFormat="false" ht="15" hidden="false" customHeight="false" outlineLevel="0" collapsed="false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8"/>
      <c r="Q378" s="8"/>
      <c r="R378" s="7"/>
      <c r="S378" s="8"/>
      <c r="T378" s="8"/>
      <c r="U378" s="7"/>
      <c r="V378" s="7"/>
      <c r="W378" s="7"/>
      <c r="X378" s="8"/>
      <c r="Y378" s="7"/>
      <c r="Z378" s="8" t="str">
        <f aca="false">IF(S378="","",S378-N(X378))</f>
        <v/>
      </c>
      <c r="AA378" s="7"/>
    </row>
    <row r="379" customFormat="false" ht="15" hidden="false" customHeight="false" outlineLevel="0" collapsed="false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8"/>
      <c r="Q379" s="8"/>
      <c r="R379" s="7"/>
      <c r="S379" s="8"/>
      <c r="T379" s="8"/>
      <c r="U379" s="7"/>
      <c r="V379" s="7"/>
      <c r="W379" s="7"/>
      <c r="X379" s="8"/>
      <c r="Y379" s="7"/>
      <c r="Z379" s="8" t="str">
        <f aca="false">IF(S379="","",S379-N(X379))</f>
        <v/>
      </c>
      <c r="AA379" s="7"/>
    </row>
    <row r="380" customFormat="false" ht="15" hidden="false" customHeight="false" outlineLevel="0" collapsed="false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8"/>
      <c r="Q380" s="8"/>
      <c r="R380" s="7"/>
      <c r="S380" s="8"/>
      <c r="T380" s="8"/>
      <c r="U380" s="7"/>
      <c r="V380" s="7"/>
      <c r="W380" s="7"/>
      <c r="X380" s="8"/>
      <c r="Y380" s="7"/>
      <c r="Z380" s="8" t="str">
        <f aca="false">IF(S380="","",S380-N(X380))</f>
        <v/>
      </c>
      <c r="AA380" s="7"/>
    </row>
    <row r="381" customFormat="false" ht="15" hidden="false" customHeight="false" outlineLevel="0" collapsed="false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8"/>
      <c r="Q381" s="8"/>
      <c r="R381" s="7"/>
      <c r="S381" s="8"/>
      <c r="T381" s="8"/>
      <c r="U381" s="7"/>
      <c r="V381" s="7"/>
      <c r="W381" s="7"/>
      <c r="X381" s="8"/>
      <c r="Y381" s="7"/>
      <c r="Z381" s="8" t="str">
        <f aca="false">IF(S381="","",S381-N(X381))</f>
        <v/>
      </c>
      <c r="AA381" s="7"/>
    </row>
    <row r="382" customFormat="false" ht="15" hidden="false" customHeight="false" outlineLevel="0" collapsed="false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8"/>
      <c r="Q382" s="8"/>
      <c r="R382" s="7"/>
      <c r="S382" s="8"/>
      <c r="T382" s="8"/>
      <c r="U382" s="7"/>
      <c r="V382" s="7"/>
      <c r="W382" s="7"/>
      <c r="X382" s="8"/>
      <c r="Y382" s="7"/>
      <c r="Z382" s="8" t="str">
        <f aca="false">IF(S382="","",S382-N(X382))</f>
        <v/>
      </c>
      <c r="AA382" s="7"/>
    </row>
    <row r="383" customFormat="false" ht="15" hidden="false" customHeight="false" outlineLevel="0" collapsed="false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8"/>
      <c r="Q383" s="8"/>
      <c r="R383" s="7"/>
      <c r="S383" s="8"/>
      <c r="T383" s="8"/>
      <c r="U383" s="7"/>
      <c r="V383" s="7"/>
      <c r="W383" s="7"/>
      <c r="X383" s="8"/>
      <c r="Y383" s="7"/>
      <c r="Z383" s="8" t="str">
        <f aca="false">IF(S383="","",S383-N(X383))</f>
        <v/>
      </c>
      <c r="AA383" s="7"/>
    </row>
    <row r="384" customFormat="false" ht="15" hidden="false" customHeight="false" outlineLevel="0" collapsed="false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8"/>
      <c r="Q384" s="8"/>
      <c r="R384" s="7"/>
      <c r="S384" s="8"/>
      <c r="T384" s="8"/>
      <c r="U384" s="7"/>
      <c r="V384" s="7"/>
      <c r="W384" s="7"/>
      <c r="X384" s="8"/>
      <c r="Y384" s="7"/>
      <c r="Z384" s="8" t="str">
        <f aca="false">IF(S384="","",S384-N(X384))</f>
        <v/>
      </c>
      <c r="AA384" s="7"/>
    </row>
    <row r="385" customFormat="false" ht="15" hidden="false" customHeight="false" outlineLevel="0" collapsed="false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8"/>
      <c r="Q385" s="8"/>
      <c r="R385" s="7"/>
      <c r="S385" s="8"/>
      <c r="T385" s="8"/>
      <c r="U385" s="7"/>
      <c r="V385" s="7"/>
      <c r="W385" s="7"/>
      <c r="X385" s="8"/>
      <c r="Y385" s="7"/>
      <c r="Z385" s="8" t="str">
        <f aca="false">IF(S385="","",S385-N(X385))</f>
        <v/>
      </c>
      <c r="AA385" s="7"/>
    </row>
    <row r="386" customFormat="false" ht="15" hidden="false" customHeight="false" outlineLevel="0" collapsed="false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8"/>
      <c r="Q386" s="8"/>
      <c r="R386" s="7"/>
      <c r="S386" s="8"/>
      <c r="T386" s="8"/>
      <c r="U386" s="7"/>
      <c r="V386" s="7"/>
      <c r="W386" s="7"/>
      <c r="X386" s="8"/>
      <c r="Y386" s="7"/>
      <c r="Z386" s="8" t="str">
        <f aca="false">IF(S386="","",S386-N(X386))</f>
        <v/>
      </c>
      <c r="AA386" s="7"/>
    </row>
    <row r="387" customFormat="false" ht="15" hidden="false" customHeight="false" outlineLevel="0" collapsed="false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8"/>
      <c r="Q387" s="8"/>
      <c r="R387" s="7"/>
      <c r="S387" s="8"/>
      <c r="T387" s="8"/>
      <c r="U387" s="7"/>
      <c r="V387" s="7"/>
      <c r="W387" s="7"/>
      <c r="X387" s="8"/>
      <c r="Y387" s="7"/>
      <c r="Z387" s="8" t="str">
        <f aca="false">IF(S387="","",S387-N(X387))</f>
        <v/>
      </c>
      <c r="AA387" s="7"/>
    </row>
    <row r="388" customFormat="false" ht="15" hidden="false" customHeight="false" outlineLevel="0" collapsed="false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8"/>
      <c r="Q388" s="8"/>
      <c r="R388" s="7"/>
      <c r="S388" s="8"/>
      <c r="T388" s="8"/>
      <c r="U388" s="7"/>
      <c r="V388" s="7"/>
      <c r="W388" s="7"/>
      <c r="X388" s="8"/>
      <c r="Y388" s="7"/>
      <c r="Z388" s="8" t="str">
        <f aca="false">IF(S388="","",S388-N(X388))</f>
        <v/>
      </c>
      <c r="AA388" s="7"/>
    </row>
    <row r="389" customFormat="false" ht="15" hidden="false" customHeight="false" outlineLevel="0" collapsed="false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8"/>
      <c r="Q389" s="8"/>
      <c r="R389" s="7"/>
      <c r="S389" s="8"/>
      <c r="T389" s="8"/>
      <c r="U389" s="7"/>
      <c r="V389" s="7"/>
      <c r="W389" s="7"/>
      <c r="X389" s="8"/>
      <c r="Y389" s="7"/>
      <c r="Z389" s="8" t="str">
        <f aca="false">IF(S389="","",S389-N(X389))</f>
        <v/>
      </c>
      <c r="AA389" s="7"/>
    </row>
    <row r="390" customFormat="false" ht="15" hidden="false" customHeight="false" outlineLevel="0" collapsed="false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8"/>
      <c r="Q390" s="8"/>
      <c r="R390" s="7"/>
      <c r="S390" s="8"/>
      <c r="T390" s="8"/>
      <c r="U390" s="7"/>
      <c r="V390" s="7"/>
      <c r="W390" s="7"/>
      <c r="X390" s="8"/>
      <c r="Y390" s="7"/>
      <c r="Z390" s="8" t="str">
        <f aca="false">IF(S390="","",S390-N(X390))</f>
        <v/>
      </c>
      <c r="AA390" s="7"/>
    </row>
    <row r="391" customFormat="false" ht="15" hidden="false" customHeight="false" outlineLevel="0" collapsed="false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8"/>
      <c r="Q391" s="8"/>
      <c r="R391" s="7"/>
      <c r="S391" s="8"/>
      <c r="T391" s="8"/>
      <c r="U391" s="7"/>
      <c r="V391" s="7"/>
      <c r="W391" s="7"/>
      <c r="X391" s="8"/>
      <c r="Y391" s="7"/>
      <c r="Z391" s="8" t="str">
        <f aca="false">IF(S391="","",S391-N(X391))</f>
        <v/>
      </c>
      <c r="AA391" s="7"/>
    </row>
    <row r="392" customFormat="false" ht="15" hidden="false" customHeight="false" outlineLevel="0" collapsed="false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8"/>
      <c r="Q392" s="8"/>
      <c r="R392" s="7"/>
      <c r="S392" s="8"/>
      <c r="T392" s="8"/>
      <c r="U392" s="7"/>
      <c r="V392" s="7"/>
      <c r="W392" s="7"/>
      <c r="X392" s="8"/>
      <c r="Y392" s="7"/>
      <c r="Z392" s="8" t="str">
        <f aca="false">IF(S392="","",S392-N(X392))</f>
        <v/>
      </c>
      <c r="AA392" s="7"/>
    </row>
    <row r="393" customFormat="false" ht="15" hidden="false" customHeight="false" outlineLevel="0" collapsed="false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8"/>
      <c r="Q393" s="8"/>
      <c r="R393" s="7"/>
      <c r="S393" s="8"/>
      <c r="T393" s="8"/>
      <c r="U393" s="7"/>
      <c r="V393" s="7"/>
      <c r="W393" s="7"/>
      <c r="X393" s="8"/>
      <c r="Y393" s="7"/>
      <c r="Z393" s="8" t="str">
        <f aca="false">IF(S393="","",S393-N(X393))</f>
        <v/>
      </c>
      <c r="AA393" s="7"/>
    </row>
    <row r="394" customFormat="false" ht="15" hidden="false" customHeight="false" outlineLevel="0" collapsed="false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8"/>
      <c r="Q394" s="8"/>
      <c r="R394" s="7"/>
      <c r="S394" s="8"/>
      <c r="T394" s="8"/>
      <c r="U394" s="7"/>
      <c r="V394" s="7"/>
      <c r="W394" s="7"/>
      <c r="X394" s="8"/>
      <c r="Y394" s="7"/>
      <c r="Z394" s="8" t="str">
        <f aca="false">IF(S394="","",S394-N(X394))</f>
        <v/>
      </c>
      <c r="AA394" s="7"/>
    </row>
    <row r="395" customFormat="false" ht="15" hidden="false" customHeight="false" outlineLevel="0" collapsed="false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8"/>
      <c r="Q395" s="8"/>
      <c r="R395" s="7"/>
      <c r="S395" s="8"/>
      <c r="T395" s="8"/>
      <c r="U395" s="7"/>
      <c r="V395" s="7"/>
      <c r="W395" s="7"/>
      <c r="X395" s="8"/>
      <c r="Y395" s="7"/>
      <c r="Z395" s="8" t="str">
        <f aca="false">IF(S395="","",S395-N(X395))</f>
        <v/>
      </c>
      <c r="AA395" s="7"/>
    </row>
    <row r="396" customFormat="false" ht="15" hidden="false" customHeight="false" outlineLevel="0" collapsed="false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8"/>
      <c r="Q396" s="8"/>
      <c r="R396" s="7"/>
      <c r="S396" s="8"/>
      <c r="T396" s="8"/>
      <c r="U396" s="7"/>
      <c r="V396" s="7"/>
      <c r="W396" s="7"/>
      <c r="X396" s="8"/>
      <c r="Y396" s="7"/>
      <c r="Z396" s="8" t="str">
        <f aca="false">IF(S396="","",S396-N(X396))</f>
        <v/>
      </c>
      <c r="AA396" s="7"/>
    </row>
    <row r="397" customFormat="false" ht="15" hidden="false" customHeight="false" outlineLevel="0" collapsed="false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8"/>
      <c r="Q397" s="8"/>
      <c r="R397" s="7"/>
      <c r="S397" s="8"/>
      <c r="T397" s="8"/>
      <c r="U397" s="7"/>
      <c r="V397" s="7"/>
      <c r="W397" s="7"/>
      <c r="X397" s="8"/>
      <c r="Y397" s="7"/>
      <c r="Z397" s="8" t="str">
        <f aca="false">IF(S397="","",S397-N(X397))</f>
        <v/>
      </c>
      <c r="AA397" s="7"/>
    </row>
    <row r="398" customFormat="false" ht="15" hidden="false" customHeight="false" outlineLevel="0" collapsed="false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8"/>
      <c r="Q398" s="8"/>
      <c r="R398" s="7"/>
      <c r="S398" s="8"/>
      <c r="T398" s="8"/>
      <c r="U398" s="7"/>
      <c r="V398" s="7"/>
      <c r="W398" s="7"/>
      <c r="X398" s="8"/>
      <c r="Y398" s="7"/>
      <c r="Z398" s="8" t="str">
        <f aca="false">IF(S398="","",S398-N(X398))</f>
        <v/>
      </c>
      <c r="AA398" s="7"/>
    </row>
    <row r="399" customFormat="false" ht="15" hidden="false" customHeight="false" outlineLevel="0" collapsed="false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8"/>
      <c r="Q399" s="8"/>
      <c r="R399" s="7"/>
      <c r="S399" s="8"/>
      <c r="T399" s="8"/>
      <c r="U399" s="7"/>
      <c r="V399" s="7"/>
      <c r="W399" s="7"/>
      <c r="X399" s="8"/>
      <c r="Y399" s="7"/>
      <c r="Z399" s="8" t="str">
        <f aca="false">IF(S399="","",S399-N(X399))</f>
        <v/>
      </c>
      <c r="AA399" s="7"/>
    </row>
    <row r="400" customFormat="false" ht="15" hidden="false" customHeight="false" outlineLevel="0" collapsed="false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8"/>
      <c r="Q400" s="8"/>
      <c r="R400" s="7"/>
      <c r="S400" s="8"/>
      <c r="T400" s="8"/>
      <c r="U400" s="7"/>
      <c r="V400" s="7"/>
      <c r="W400" s="7"/>
      <c r="X400" s="8"/>
      <c r="Y400" s="7"/>
      <c r="Z400" s="8" t="str">
        <f aca="false">IF(S400="","",S400-N(X400))</f>
        <v/>
      </c>
      <c r="AA400" s="7"/>
    </row>
    <row r="401" customFormat="false" ht="15" hidden="false" customHeight="false" outlineLevel="0" collapsed="false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8"/>
      <c r="Q401" s="8"/>
      <c r="R401" s="7"/>
      <c r="S401" s="8"/>
      <c r="T401" s="8"/>
      <c r="U401" s="7"/>
      <c r="V401" s="7"/>
      <c r="W401" s="7"/>
      <c r="X401" s="8"/>
      <c r="Y401" s="7"/>
      <c r="Z401" s="8" t="str">
        <f aca="false">IF(S401="","",S401-N(X401))</f>
        <v/>
      </c>
      <c r="AA401" s="7"/>
    </row>
    <row r="402" customFormat="false" ht="15" hidden="false" customHeight="false" outlineLevel="0" collapsed="false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8"/>
      <c r="Q402" s="8"/>
      <c r="R402" s="7"/>
      <c r="S402" s="8"/>
      <c r="T402" s="8"/>
      <c r="U402" s="7"/>
      <c r="V402" s="7"/>
      <c r="W402" s="7"/>
      <c r="X402" s="8"/>
      <c r="Y402" s="7"/>
      <c r="Z402" s="8" t="str">
        <f aca="false">IF(S402="","",S402-N(X402))</f>
        <v/>
      </c>
      <c r="AA402" s="7"/>
    </row>
    <row r="403" customFormat="false" ht="15" hidden="false" customHeight="false" outlineLevel="0" collapsed="false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8"/>
      <c r="Q403" s="8"/>
      <c r="R403" s="7"/>
      <c r="S403" s="8"/>
      <c r="T403" s="8"/>
      <c r="U403" s="7"/>
      <c r="V403" s="7"/>
      <c r="W403" s="7"/>
      <c r="X403" s="8"/>
      <c r="Y403" s="7"/>
      <c r="Z403" s="8" t="str">
        <f aca="false">IF(S403="","",S403-N(X403))</f>
        <v/>
      </c>
      <c r="AA403" s="7"/>
    </row>
    <row r="404" customFormat="false" ht="15" hidden="false" customHeight="false" outlineLevel="0" collapsed="false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8"/>
      <c r="Q404" s="8"/>
      <c r="R404" s="7"/>
      <c r="S404" s="8"/>
      <c r="T404" s="8"/>
      <c r="U404" s="7"/>
      <c r="V404" s="7"/>
      <c r="W404" s="7"/>
      <c r="X404" s="8"/>
      <c r="Y404" s="7"/>
      <c r="Z404" s="8" t="str">
        <f aca="false">IF(S404="","",S404-N(X404))</f>
        <v/>
      </c>
      <c r="AA404" s="7"/>
    </row>
    <row r="405" customFormat="false" ht="15" hidden="false" customHeight="false" outlineLevel="0" collapsed="false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8"/>
      <c r="Q405" s="8"/>
      <c r="R405" s="7"/>
      <c r="S405" s="8"/>
      <c r="T405" s="8"/>
      <c r="U405" s="7"/>
      <c r="V405" s="7"/>
      <c r="W405" s="7"/>
      <c r="X405" s="8"/>
      <c r="Y405" s="7"/>
      <c r="Z405" s="8" t="str">
        <f aca="false">IF(S405="","",S405-N(X405))</f>
        <v/>
      </c>
      <c r="AA405" s="7"/>
    </row>
    <row r="406" customFormat="false" ht="15" hidden="false" customHeight="false" outlineLevel="0" collapsed="false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8"/>
      <c r="Q406" s="8"/>
      <c r="R406" s="7"/>
      <c r="S406" s="8"/>
      <c r="T406" s="8"/>
      <c r="U406" s="7"/>
      <c r="V406" s="7"/>
      <c r="W406" s="7"/>
      <c r="X406" s="8"/>
      <c r="Y406" s="7"/>
      <c r="Z406" s="8" t="str">
        <f aca="false">IF(S406="","",S406-N(X406))</f>
        <v/>
      </c>
      <c r="AA406" s="7"/>
    </row>
    <row r="407" customFormat="false" ht="15" hidden="false" customHeight="false" outlineLevel="0" collapsed="false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8"/>
      <c r="Q407" s="8"/>
      <c r="R407" s="7"/>
      <c r="S407" s="8"/>
      <c r="T407" s="8"/>
      <c r="U407" s="7"/>
      <c r="V407" s="7"/>
      <c r="W407" s="7"/>
      <c r="X407" s="8"/>
      <c r="Y407" s="7"/>
      <c r="Z407" s="8" t="str">
        <f aca="false">IF(S407="","",S407-N(X407))</f>
        <v/>
      </c>
      <c r="AA407" s="7"/>
    </row>
    <row r="408" customFormat="false" ht="15" hidden="false" customHeight="false" outlineLevel="0" collapsed="false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8"/>
      <c r="Q408" s="8"/>
      <c r="R408" s="7"/>
      <c r="S408" s="8"/>
      <c r="T408" s="8"/>
      <c r="U408" s="7"/>
      <c r="V408" s="7"/>
      <c r="W408" s="7"/>
      <c r="X408" s="8"/>
      <c r="Y408" s="7"/>
      <c r="Z408" s="8" t="str">
        <f aca="false">IF(S408="","",S408-N(X408))</f>
        <v/>
      </c>
      <c r="AA408" s="7"/>
    </row>
    <row r="409" customFormat="false" ht="15" hidden="false" customHeight="false" outlineLevel="0" collapsed="false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8"/>
      <c r="Q409" s="8"/>
      <c r="R409" s="7"/>
      <c r="S409" s="8"/>
      <c r="T409" s="8"/>
      <c r="U409" s="7"/>
      <c r="V409" s="7"/>
      <c r="W409" s="7"/>
      <c r="X409" s="8"/>
      <c r="Y409" s="7"/>
      <c r="Z409" s="8" t="str">
        <f aca="false">IF(S409="","",S409-N(X409))</f>
        <v/>
      </c>
      <c r="AA409" s="7"/>
    </row>
    <row r="410" customFormat="false" ht="15" hidden="false" customHeight="false" outlineLevel="0" collapsed="false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8"/>
      <c r="Q410" s="8"/>
      <c r="R410" s="7"/>
      <c r="S410" s="8"/>
      <c r="T410" s="8"/>
      <c r="U410" s="7"/>
      <c r="V410" s="7"/>
      <c r="W410" s="7"/>
      <c r="X410" s="8"/>
      <c r="Y410" s="7"/>
      <c r="Z410" s="8" t="str">
        <f aca="false">IF(S410="","",S410-N(X410))</f>
        <v/>
      </c>
      <c r="AA410" s="7"/>
    </row>
    <row r="411" customFormat="false" ht="15" hidden="false" customHeight="false" outlineLevel="0" collapsed="false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8"/>
      <c r="Q411" s="8"/>
      <c r="R411" s="7"/>
      <c r="S411" s="8"/>
      <c r="T411" s="8"/>
      <c r="U411" s="7"/>
      <c r="V411" s="7"/>
      <c r="W411" s="7"/>
      <c r="X411" s="8"/>
      <c r="Y411" s="7"/>
      <c r="Z411" s="8" t="str">
        <f aca="false">IF(S411="","",S411-N(X411))</f>
        <v/>
      </c>
      <c r="AA411" s="7"/>
    </row>
    <row r="412" customFormat="false" ht="15" hidden="false" customHeight="false" outlineLevel="0" collapsed="false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8"/>
      <c r="Q412" s="8"/>
      <c r="R412" s="7"/>
      <c r="S412" s="8"/>
      <c r="T412" s="8"/>
      <c r="U412" s="7"/>
      <c r="V412" s="7"/>
      <c r="W412" s="7"/>
      <c r="X412" s="8"/>
      <c r="Y412" s="7"/>
      <c r="Z412" s="8" t="str">
        <f aca="false">IF(S412="","",S412-N(X412))</f>
        <v/>
      </c>
      <c r="AA412" s="7"/>
    </row>
    <row r="413" customFormat="false" ht="15" hidden="false" customHeight="false" outlineLevel="0" collapsed="false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8"/>
      <c r="Q413" s="8"/>
      <c r="R413" s="7"/>
      <c r="S413" s="8"/>
      <c r="T413" s="8"/>
      <c r="U413" s="7"/>
      <c r="V413" s="7"/>
      <c r="W413" s="7"/>
      <c r="X413" s="8"/>
      <c r="Y413" s="7"/>
      <c r="Z413" s="8" t="str">
        <f aca="false">IF(S413="","",S413-N(X413))</f>
        <v/>
      </c>
      <c r="AA413" s="7"/>
    </row>
    <row r="414" customFormat="false" ht="15" hidden="false" customHeight="false" outlineLevel="0" collapsed="false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8"/>
      <c r="Q414" s="8"/>
      <c r="R414" s="7"/>
      <c r="S414" s="8"/>
      <c r="T414" s="8"/>
      <c r="U414" s="7"/>
      <c r="V414" s="7"/>
      <c r="W414" s="7"/>
      <c r="X414" s="8"/>
      <c r="Y414" s="7"/>
      <c r="Z414" s="8" t="str">
        <f aca="false">IF(S414="","",S414-N(X414))</f>
        <v/>
      </c>
      <c r="AA414" s="7"/>
    </row>
    <row r="415" customFormat="false" ht="15" hidden="false" customHeight="false" outlineLevel="0" collapsed="false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8"/>
      <c r="Q415" s="8"/>
      <c r="R415" s="7"/>
      <c r="S415" s="8"/>
      <c r="T415" s="8"/>
      <c r="U415" s="7"/>
      <c r="V415" s="7"/>
      <c r="W415" s="7"/>
      <c r="X415" s="8"/>
      <c r="Y415" s="7"/>
      <c r="Z415" s="8" t="str">
        <f aca="false">IF(S415="","",S415-N(X415))</f>
        <v/>
      </c>
      <c r="AA415" s="7"/>
    </row>
    <row r="416" customFormat="false" ht="15" hidden="false" customHeight="false" outlineLevel="0" collapsed="false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8"/>
      <c r="Q416" s="8"/>
      <c r="R416" s="7"/>
      <c r="S416" s="8"/>
      <c r="T416" s="8"/>
      <c r="U416" s="7"/>
      <c r="V416" s="7"/>
      <c r="W416" s="7"/>
      <c r="X416" s="8"/>
      <c r="Y416" s="7"/>
      <c r="Z416" s="8" t="str">
        <f aca="false">IF(S416="","",S416-N(X416))</f>
        <v/>
      </c>
      <c r="AA416" s="7"/>
    </row>
    <row r="417" customFormat="false" ht="15" hidden="false" customHeight="false" outlineLevel="0" collapsed="false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8"/>
      <c r="Q417" s="8"/>
      <c r="R417" s="7"/>
      <c r="S417" s="8"/>
      <c r="T417" s="8"/>
      <c r="U417" s="7"/>
      <c r="V417" s="7"/>
      <c r="W417" s="7"/>
      <c r="X417" s="8"/>
      <c r="Y417" s="7"/>
      <c r="Z417" s="8" t="str">
        <f aca="false">IF(S417="","",S417-N(X417))</f>
        <v/>
      </c>
      <c r="AA417" s="7"/>
    </row>
    <row r="418" customFormat="false" ht="15" hidden="false" customHeight="false" outlineLevel="0" collapsed="false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8"/>
      <c r="Q418" s="8"/>
      <c r="R418" s="7"/>
      <c r="S418" s="8"/>
      <c r="T418" s="8"/>
      <c r="U418" s="7"/>
      <c r="V418" s="7"/>
      <c r="W418" s="7"/>
      <c r="X418" s="8"/>
      <c r="Y418" s="7"/>
      <c r="Z418" s="8" t="str">
        <f aca="false">IF(S418="","",S418-N(X418))</f>
        <v/>
      </c>
      <c r="AA418" s="7"/>
    </row>
    <row r="419" customFormat="false" ht="15" hidden="false" customHeight="false" outlineLevel="0" collapsed="false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8"/>
      <c r="Q419" s="8"/>
      <c r="R419" s="7"/>
      <c r="S419" s="8"/>
      <c r="T419" s="8"/>
      <c r="U419" s="7"/>
      <c r="V419" s="7"/>
      <c r="W419" s="7"/>
      <c r="X419" s="8"/>
      <c r="Y419" s="7"/>
      <c r="Z419" s="8" t="str">
        <f aca="false">IF(S419="","",S419-N(X419))</f>
        <v/>
      </c>
      <c r="AA419" s="7"/>
    </row>
    <row r="420" customFormat="false" ht="15" hidden="false" customHeight="false" outlineLevel="0" collapsed="false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8"/>
      <c r="Q420" s="8"/>
      <c r="R420" s="7"/>
      <c r="S420" s="8"/>
      <c r="T420" s="8"/>
      <c r="U420" s="7"/>
      <c r="V420" s="7"/>
      <c r="W420" s="7"/>
      <c r="X420" s="8"/>
      <c r="Y420" s="7"/>
      <c r="Z420" s="8" t="str">
        <f aca="false">IF(S420="","",S420-N(X420))</f>
        <v/>
      </c>
      <c r="AA420" s="7"/>
    </row>
    <row r="421" customFormat="false" ht="15" hidden="false" customHeight="false" outlineLevel="0" collapsed="false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8"/>
      <c r="Q421" s="8"/>
      <c r="R421" s="7"/>
      <c r="S421" s="8"/>
      <c r="T421" s="8"/>
      <c r="U421" s="7"/>
      <c r="V421" s="7"/>
      <c r="W421" s="7"/>
      <c r="X421" s="8"/>
      <c r="Y421" s="7"/>
      <c r="Z421" s="8" t="str">
        <f aca="false">IF(S421="","",S421-N(X421))</f>
        <v/>
      </c>
      <c r="AA421" s="7"/>
    </row>
    <row r="422" customFormat="false" ht="15" hidden="false" customHeight="false" outlineLevel="0" collapsed="false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8"/>
      <c r="Q422" s="8"/>
      <c r="R422" s="7"/>
      <c r="S422" s="8"/>
      <c r="T422" s="8"/>
      <c r="U422" s="7"/>
      <c r="V422" s="7"/>
      <c r="W422" s="7"/>
      <c r="X422" s="8"/>
      <c r="Y422" s="7"/>
      <c r="Z422" s="8" t="str">
        <f aca="false">IF(S422="","",S422-N(X422))</f>
        <v/>
      </c>
      <c r="AA422" s="7"/>
    </row>
    <row r="423" customFormat="false" ht="15" hidden="false" customHeight="false" outlineLevel="0" collapsed="false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8"/>
      <c r="Q423" s="8"/>
      <c r="R423" s="7"/>
      <c r="S423" s="8"/>
      <c r="T423" s="8"/>
      <c r="U423" s="7"/>
      <c r="V423" s="7"/>
      <c r="W423" s="7"/>
      <c r="X423" s="8"/>
      <c r="Y423" s="7"/>
      <c r="Z423" s="8" t="str">
        <f aca="false">IF(S423="","",S423-N(X423))</f>
        <v/>
      </c>
      <c r="AA423" s="7"/>
    </row>
    <row r="424" customFormat="false" ht="15" hidden="false" customHeight="false" outlineLevel="0" collapsed="false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8"/>
      <c r="Q424" s="8"/>
      <c r="R424" s="7"/>
      <c r="S424" s="8"/>
      <c r="T424" s="8"/>
      <c r="U424" s="7"/>
      <c r="V424" s="7"/>
      <c r="W424" s="7"/>
      <c r="X424" s="8"/>
      <c r="Y424" s="7"/>
      <c r="Z424" s="8" t="str">
        <f aca="false">IF(S424="","",S424-N(X424))</f>
        <v/>
      </c>
      <c r="AA424" s="7"/>
    </row>
    <row r="425" customFormat="false" ht="15" hidden="false" customHeight="false" outlineLevel="0" collapsed="false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8"/>
      <c r="Q425" s="8"/>
      <c r="R425" s="7"/>
      <c r="S425" s="8"/>
      <c r="T425" s="8"/>
      <c r="U425" s="7"/>
      <c r="V425" s="7"/>
      <c r="W425" s="7"/>
      <c r="X425" s="8"/>
      <c r="Y425" s="7"/>
      <c r="Z425" s="8" t="str">
        <f aca="false">IF(S425="","",S425-N(X425))</f>
        <v/>
      </c>
      <c r="AA425" s="7"/>
    </row>
    <row r="426" customFormat="false" ht="15" hidden="false" customHeight="false" outlineLevel="0" collapsed="false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8"/>
      <c r="Q426" s="8"/>
      <c r="R426" s="7"/>
      <c r="S426" s="8"/>
      <c r="T426" s="8"/>
      <c r="U426" s="7"/>
      <c r="V426" s="7"/>
      <c r="W426" s="7"/>
      <c r="X426" s="8"/>
      <c r="Y426" s="7"/>
      <c r="Z426" s="8" t="str">
        <f aca="false">IF(S426="","",S426-N(X426))</f>
        <v/>
      </c>
      <c r="AA426" s="7"/>
    </row>
    <row r="427" customFormat="false" ht="15" hidden="false" customHeight="false" outlineLevel="0" collapsed="false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8"/>
      <c r="Q427" s="8"/>
      <c r="R427" s="7"/>
      <c r="S427" s="8"/>
      <c r="T427" s="8"/>
      <c r="U427" s="7"/>
      <c r="V427" s="7"/>
      <c r="W427" s="7"/>
      <c r="X427" s="8"/>
      <c r="Y427" s="7"/>
      <c r="Z427" s="8" t="str">
        <f aca="false">IF(S427="","",S427-N(X427))</f>
        <v/>
      </c>
      <c r="AA427" s="7"/>
    </row>
    <row r="428" customFormat="false" ht="15" hidden="false" customHeight="false" outlineLevel="0" collapsed="false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8"/>
      <c r="Q428" s="8"/>
      <c r="R428" s="7"/>
      <c r="S428" s="8"/>
      <c r="T428" s="8"/>
      <c r="U428" s="7"/>
      <c r="V428" s="7"/>
      <c r="W428" s="7"/>
      <c r="X428" s="8"/>
      <c r="Y428" s="7"/>
      <c r="Z428" s="8" t="str">
        <f aca="false">IF(S428="","",S428-N(X428))</f>
        <v/>
      </c>
      <c r="AA428" s="7"/>
    </row>
    <row r="429" customFormat="false" ht="15" hidden="false" customHeight="false" outlineLevel="0" collapsed="false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8"/>
      <c r="Q429" s="8"/>
      <c r="R429" s="7"/>
      <c r="S429" s="8"/>
      <c r="T429" s="8"/>
      <c r="U429" s="7"/>
      <c r="V429" s="7"/>
      <c r="W429" s="7"/>
      <c r="X429" s="8"/>
      <c r="Y429" s="7"/>
      <c r="Z429" s="8" t="str">
        <f aca="false">IF(S429="","",S429-N(X429))</f>
        <v/>
      </c>
      <c r="AA429" s="7"/>
    </row>
    <row r="430" customFormat="false" ht="15" hidden="false" customHeight="false" outlineLevel="0" collapsed="false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8"/>
      <c r="Q430" s="8"/>
      <c r="R430" s="7"/>
      <c r="S430" s="8"/>
      <c r="T430" s="8"/>
      <c r="U430" s="7"/>
      <c r="V430" s="7"/>
      <c r="W430" s="7"/>
      <c r="X430" s="8"/>
      <c r="Y430" s="7"/>
      <c r="Z430" s="8" t="str">
        <f aca="false">IF(S430="","",S430-N(X430))</f>
        <v/>
      </c>
      <c r="AA430" s="7"/>
    </row>
    <row r="431" customFormat="false" ht="15" hidden="false" customHeight="false" outlineLevel="0" collapsed="false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8"/>
      <c r="Q431" s="8"/>
      <c r="R431" s="7"/>
      <c r="S431" s="8"/>
      <c r="T431" s="8"/>
      <c r="U431" s="7"/>
      <c r="V431" s="7"/>
      <c r="W431" s="7"/>
      <c r="X431" s="8"/>
      <c r="Y431" s="7"/>
      <c r="Z431" s="8" t="str">
        <f aca="false">IF(S431="","",S431-N(X431))</f>
        <v/>
      </c>
      <c r="AA431" s="7"/>
    </row>
    <row r="432" customFormat="false" ht="15" hidden="false" customHeight="false" outlineLevel="0" collapsed="false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8"/>
      <c r="Q432" s="8"/>
      <c r="R432" s="7"/>
      <c r="S432" s="8"/>
      <c r="T432" s="8"/>
      <c r="U432" s="7"/>
      <c r="V432" s="7"/>
      <c r="W432" s="7"/>
      <c r="X432" s="8"/>
      <c r="Y432" s="7"/>
      <c r="Z432" s="8" t="str">
        <f aca="false">IF(S432="","",S432-N(X432))</f>
        <v/>
      </c>
      <c r="AA432" s="7"/>
    </row>
    <row r="433" customFormat="false" ht="15" hidden="false" customHeight="false" outlineLevel="0" collapsed="false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8"/>
      <c r="Q433" s="8"/>
      <c r="R433" s="7"/>
      <c r="S433" s="8"/>
      <c r="T433" s="8"/>
      <c r="U433" s="7"/>
      <c r="V433" s="7"/>
      <c r="W433" s="7"/>
      <c r="X433" s="8"/>
      <c r="Y433" s="7"/>
      <c r="Z433" s="8" t="str">
        <f aca="false">IF(S433="","",S433-N(X433))</f>
        <v/>
      </c>
      <c r="AA433" s="7"/>
    </row>
    <row r="434" customFormat="false" ht="15" hidden="false" customHeight="false" outlineLevel="0" collapsed="false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8"/>
      <c r="Q434" s="8"/>
      <c r="R434" s="7"/>
      <c r="S434" s="8"/>
      <c r="T434" s="8"/>
      <c r="U434" s="7"/>
      <c r="V434" s="7"/>
      <c r="W434" s="7"/>
      <c r="X434" s="8"/>
      <c r="Y434" s="7"/>
      <c r="Z434" s="8" t="str">
        <f aca="false">IF(S434="","",S434-N(X434))</f>
        <v/>
      </c>
      <c r="AA434" s="7"/>
    </row>
    <row r="435" customFormat="false" ht="15" hidden="false" customHeight="false" outlineLevel="0" collapsed="false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8"/>
      <c r="Q435" s="8"/>
      <c r="R435" s="7"/>
      <c r="S435" s="8"/>
      <c r="T435" s="8"/>
      <c r="U435" s="7"/>
      <c r="V435" s="7"/>
      <c r="W435" s="7"/>
      <c r="X435" s="8"/>
      <c r="Y435" s="7"/>
      <c r="Z435" s="8" t="str">
        <f aca="false">IF(S435="","",S435-N(X435))</f>
        <v/>
      </c>
      <c r="AA435" s="7"/>
    </row>
    <row r="436" customFormat="false" ht="15" hidden="false" customHeight="false" outlineLevel="0" collapsed="false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8"/>
      <c r="Q436" s="8"/>
      <c r="R436" s="7"/>
      <c r="S436" s="8"/>
      <c r="T436" s="8"/>
      <c r="U436" s="7"/>
      <c r="V436" s="7"/>
      <c r="W436" s="7"/>
      <c r="X436" s="8"/>
      <c r="Y436" s="7"/>
      <c r="Z436" s="8" t="str">
        <f aca="false">IF(S436="","",S436-N(X436))</f>
        <v/>
      </c>
      <c r="AA436" s="7"/>
    </row>
    <row r="437" customFormat="false" ht="15" hidden="false" customHeight="false" outlineLevel="0" collapsed="false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8"/>
      <c r="Q437" s="8"/>
      <c r="R437" s="7"/>
      <c r="S437" s="8"/>
      <c r="T437" s="8"/>
      <c r="U437" s="7"/>
      <c r="V437" s="7"/>
      <c r="W437" s="7"/>
      <c r="X437" s="8"/>
      <c r="Y437" s="7"/>
      <c r="Z437" s="8" t="str">
        <f aca="false">IF(S437="","",S437-N(X437))</f>
        <v/>
      </c>
      <c r="AA437" s="7"/>
    </row>
    <row r="438" customFormat="false" ht="15" hidden="false" customHeight="false" outlineLevel="0" collapsed="false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8"/>
      <c r="Q438" s="8"/>
      <c r="R438" s="7"/>
      <c r="S438" s="8"/>
      <c r="T438" s="8"/>
      <c r="U438" s="7"/>
      <c r="V438" s="7"/>
      <c r="W438" s="7"/>
      <c r="X438" s="8"/>
      <c r="Y438" s="7"/>
      <c r="Z438" s="8" t="str">
        <f aca="false">IF(S438="","",S438-N(X438))</f>
        <v/>
      </c>
      <c r="AA438" s="7"/>
    </row>
    <row r="439" customFormat="false" ht="15" hidden="false" customHeight="false" outlineLevel="0" collapsed="false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8"/>
      <c r="Q439" s="8"/>
      <c r="R439" s="7"/>
      <c r="S439" s="8"/>
      <c r="T439" s="8"/>
      <c r="U439" s="7"/>
      <c r="V439" s="7"/>
      <c r="W439" s="7"/>
      <c r="X439" s="8"/>
      <c r="Y439" s="7"/>
      <c r="Z439" s="8" t="str">
        <f aca="false">IF(S439="","",S439-N(X439))</f>
        <v/>
      </c>
      <c r="AA439" s="7"/>
    </row>
    <row r="440" customFormat="false" ht="15" hidden="false" customHeight="false" outlineLevel="0" collapsed="false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8"/>
      <c r="Q440" s="8"/>
      <c r="R440" s="7"/>
      <c r="S440" s="8"/>
      <c r="T440" s="8"/>
      <c r="U440" s="7"/>
      <c r="V440" s="7"/>
      <c r="W440" s="7"/>
      <c r="X440" s="8"/>
      <c r="Y440" s="7"/>
      <c r="Z440" s="8" t="str">
        <f aca="false">IF(S440="","",S440-N(X440))</f>
        <v/>
      </c>
      <c r="AA440" s="7"/>
    </row>
    <row r="441" customFormat="false" ht="15" hidden="false" customHeight="false" outlineLevel="0" collapsed="false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8"/>
      <c r="Q441" s="8"/>
      <c r="R441" s="7"/>
      <c r="S441" s="8"/>
      <c r="T441" s="8"/>
      <c r="U441" s="7"/>
      <c r="V441" s="7"/>
      <c r="W441" s="7"/>
      <c r="X441" s="8"/>
      <c r="Y441" s="7"/>
      <c r="Z441" s="8" t="str">
        <f aca="false">IF(S441="","",S441-N(X441))</f>
        <v/>
      </c>
      <c r="AA441" s="7"/>
    </row>
    <row r="442" customFormat="false" ht="15" hidden="false" customHeight="false" outlineLevel="0" collapsed="false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8"/>
      <c r="Q442" s="8"/>
      <c r="R442" s="7"/>
      <c r="S442" s="8"/>
      <c r="T442" s="8"/>
      <c r="U442" s="7"/>
      <c r="V442" s="7"/>
      <c r="W442" s="7"/>
      <c r="X442" s="8"/>
      <c r="Y442" s="7"/>
      <c r="Z442" s="8" t="str">
        <f aca="false">IF(S442="","",S442-N(X442))</f>
        <v/>
      </c>
      <c r="AA442" s="7"/>
    </row>
    <row r="443" customFormat="false" ht="15" hidden="false" customHeight="false" outlineLevel="0" collapsed="false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8"/>
      <c r="Q443" s="8"/>
      <c r="R443" s="7"/>
      <c r="S443" s="8"/>
      <c r="T443" s="8"/>
      <c r="U443" s="7"/>
      <c r="V443" s="7"/>
      <c r="W443" s="7"/>
      <c r="X443" s="8"/>
      <c r="Y443" s="7"/>
      <c r="Z443" s="8" t="str">
        <f aca="false">IF(S443="","",S443-N(X443))</f>
        <v/>
      </c>
      <c r="AA443" s="7"/>
    </row>
    <row r="444" customFormat="false" ht="15" hidden="false" customHeight="false" outlineLevel="0" collapsed="false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8"/>
      <c r="Q444" s="8"/>
      <c r="R444" s="7"/>
      <c r="S444" s="8"/>
      <c r="T444" s="8"/>
      <c r="U444" s="7"/>
      <c r="V444" s="7"/>
      <c r="W444" s="7"/>
      <c r="X444" s="8"/>
      <c r="Y444" s="7"/>
      <c r="Z444" s="8" t="str">
        <f aca="false">IF(S444="","",S444-N(X444))</f>
        <v/>
      </c>
      <c r="AA444" s="7"/>
    </row>
    <row r="445" customFormat="false" ht="15" hidden="false" customHeight="false" outlineLevel="0" collapsed="false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8"/>
      <c r="Q445" s="8"/>
      <c r="R445" s="7"/>
      <c r="S445" s="8"/>
      <c r="T445" s="8"/>
      <c r="U445" s="7"/>
      <c r="V445" s="7"/>
      <c r="W445" s="7"/>
      <c r="X445" s="8"/>
      <c r="Y445" s="7"/>
      <c r="Z445" s="8" t="str">
        <f aca="false">IF(S445="","",S445-N(X445))</f>
        <v/>
      </c>
      <c r="AA445" s="7"/>
    </row>
    <row r="446" customFormat="false" ht="15" hidden="false" customHeight="false" outlineLevel="0" collapsed="false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8"/>
      <c r="Q446" s="8"/>
      <c r="R446" s="7"/>
      <c r="S446" s="8"/>
      <c r="T446" s="8"/>
      <c r="U446" s="7"/>
      <c r="V446" s="7"/>
      <c r="W446" s="7"/>
      <c r="X446" s="8"/>
      <c r="Y446" s="7"/>
      <c r="Z446" s="8" t="str">
        <f aca="false">IF(S446="","",S446-N(X446))</f>
        <v/>
      </c>
      <c r="AA446" s="7"/>
    </row>
    <row r="447" customFormat="false" ht="15" hidden="false" customHeight="false" outlineLevel="0" collapsed="false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8"/>
      <c r="Q447" s="8"/>
      <c r="R447" s="7"/>
      <c r="S447" s="8"/>
      <c r="T447" s="8"/>
      <c r="U447" s="7"/>
      <c r="V447" s="7"/>
      <c r="W447" s="7"/>
      <c r="X447" s="8"/>
      <c r="Y447" s="7"/>
      <c r="Z447" s="8" t="str">
        <f aca="false">IF(S447="","",S447-N(X447))</f>
        <v/>
      </c>
      <c r="AA447" s="7"/>
    </row>
    <row r="448" customFormat="false" ht="15" hidden="false" customHeight="false" outlineLevel="0" collapsed="false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8"/>
      <c r="Q448" s="8"/>
      <c r="R448" s="7"/>
      <c r="S448" s="8"/>
      <c r="T448" s="8"/>
      <c r="U448" s="7"/>
      <c r="V448" s="7"/>
      <c r="W448" s="7"/>
      <c r="X448" s="8"/>
      <c r="Y448" s="7"/>
      <c r="Z448" s="8" t="str">
        <f aca="false">IF(S448="","",S448-N(X448))</f>
        <v/>
      </c>
      <c r="AA448" s="7"/>
    </row>
    <row r="449" customFormat="false" ht="15" hidden="false" customHeight="false" outlineLevel="0" collapsed="false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8"/>
      <c r="Q449" s="8"/>
      <c r="R449" s="7"/>
      <c r="S449" s="8"/>
      <c r="T449" s="8"/>
      <c r="U449" s="7"/>
      <c r="V449" s="7"/>
      <c r="W449" s="7"/>
      <c r="X449" s="8"/>
      <c r="Y449" s="7"/>
      <c r="Z449" s="8" t="str">
        <f aca="false">IF(S449="","",S449-N(X449))</f>
        <v/>
      </c>
      <c r="AA449" s="7"/>
    </row>
    <row r="450" customFormat="false" ht="15" hidden="false" customHeight="false" outlineLevel="0" collapsed="false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8"/>
      <c r="Q450" s="8"/>
      <c r="R450" s="7"/>
      <c r="S450" s="8"/>
      <c r="T450" s="8"/>
      <c r="U450" s="7"/>
      <c r="V450" s="7"/>
      <c r="W450" s="7"/>
      <c r="X450" s="8"/>
      <c r="Y450" s="7"/>
      <c r="Z450" s="8" t="str">
        <f aca="false">IF(S450="","",S450-N(X450))</f>
        <v/>
      </c>
      <c r="AA450" s="7"/>
    </row>
    <row r="451" customFormat="false" ht="15" hidden="false" customHeight="false" outlineLevel="0" collapsed="false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8"/>
      <c r="Q451" s="8"/>
      <c r="R451" s="7"/>
      <c r="S451" s="8"/>
      <c r="T451" s="8"/>
      <c r="U451" s="7"/>
      <c r="V451" s="7"/>
      <c r="W451" s="7"/>
      <c r="X451" s="8"/>
      <c r="Y451" s="7"/>
      <c r="Z451" s="8" t="str">
        <f aca="false">IF(S451="","",S451-N(X451))</f>
        <v/>
      </c>
      <c r="AA451" s="7"/>
    </row>
    <row r="452" customFormat="false" ht="15" hidden="false" customHeight="false" outlineLevel="0" collapsed="false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8"/>
      <c r="Q452" s="8"/>
      <c r="R452" s="7"/>
      <c r="S452" s="8"/>
      <c r="T452" s="8"/>
      <c r="U452" s="7"/>
      <c r="V452" s="7"/>
      <c r="W452" s="7"/>
      <c r="X452" s="8"/>
      <c r="Y452" s="7"/>
      <c r="Z452" s="8" t="str">
        <f aca="false">IF(S452="","",S452-N(X452))</f>
        <v/>
      </c>
      <c r="AA452" s="7"/>
    </row>
    <row r="453" customFormat="false" ht="15" hidden="false" customHeight="false" outlineLevel="0" collapsed="false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8"/>
      <c r="Q453" s="8"/>
      <c r="R453" s="7"/>
      <c r="S453" s="8"/>
      <c r="T453" s="8"/>
      <c r="U453" s="7"/>
      <c r="V453" s="7"/>
      <c r="W453" s="7"/>
      <c r="X453" s="8"/>
      <c r="Y453" s="7"/>
      <c r="Z453" s="8" t="str">
        <f aca="false">IF(S453="","",S453-N(X453))</f>
        <v/>
      </c>
      <c r="AA453" s="7"/>
    </row>
    <row r="454" customFormat="false" ht="15" hidden="false" customHeight="false" outlineLevel="0" collapsed="false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8"/>
      <c r="Q454" s="8"/>
      <c r="R454" s="7"/>
      <c r="S454" s="8"/>
      <c r="T454" s="8"/>
      <c r="U454" s="7"/>
      <c r="V454" s="7"/>
      <c r="W454" s="7"/>
      <c r="X454" s="8"/>
      <c r="Y454" s="7"/>
      <c r="Z454" s="8" t="str">
        <f aca="false">IF(S454="","",S454-N(X454))</f>
        <v/>
      </c>
      <c r="AA454" s="7"/>
    </row>
    <row r="455" customFormat="false" ht="15" hidden="false" customHeight="false" outlineLevel="0" collapsed="false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8"/>
      <c r="Q455" s="8"/>
      <c r="R455" s="7"/>
      <c r="S455" s="8"/>
      <c r="T455" s="8"/>
      <c r="U455" s="7"/>
      <c r="V455" s="7"/>
      <c r="W455" s="7"/>
      <c r="X455" s="8"/>
      <c r="Y455" s="7"/>
      <c r="Z455" s="8" t="str">
        <f aca="false">IF(S455="","",S455-N(X455))</f>
        <v/>
      </c>
      <c r="AA455" s="7"/>
    </row>
    <row r="456" customFormat="false" ht="15" hidden="false" customHeight="false" outlineLevel="0" collapsed="false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8"/>
      <c r="Q456" s="8"/>
      <c r="R456" s="7"/>
      <c r="S456" s="8"/>
      <c r="T456" s="8"/>
      <c r="U456" s="7"/>
      <c r="V456" s="7"/>
      <c r="W456" s="7"/>
      <c r="X456" s="8"/>
      <c r="Y456" s="7"/>
      <c r="Z456" s="8" t="str">
        <f aca="false">IF(S456="","",S456-N(X456))</f>
        <v/>
      </c>
      <c r="AA456" s="7"/>
    </row>
    <row r="457" customFormat="false" ht="15" hidden="false" customHeight="false" outlineLevel="0" collapsed="false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8"/>
      <c r="Q457" s="8"/>
      <c r="R457" s="7"/>
      <c r="S457" s="8"/>
      <c r="T457" s="8"/>
      <c r="U457" s="7"/>
      <c r="V457" s="7"/>
      <c r="W457" s="7"/>
      <c r="X457" s="8"/>
      <c r="Y457" s="7"/>
      <c r="Z457" s="8" t="str">
        <f aca="false">IF(S457="","",S457-N(X457))</f>
        <v/>
      </c>
      <c r="AA457" s="7"/>
    </row>
    <row r="458" customFormat="false" ht="15" hidden="false" customHeight="false" outlineLevel="0" collapsed="false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8"/>
      <c r="Q458" s="8"/>
      <c r="R458" s="7"/>
      <c r="S458" s="8"/>
      <c r="T458" s="8"/>
      <c r="U458" s="7"/>
      <c r="V458" s="7"/>
      <c r="W458" s="7"/>
      <c r="X458" s="8"/>
      <c r="Y458" s="7"/>
      <c r="Z458" s="8" t="str">
        <f aca="false">IF(S458="","",S458-N(X458))</f>
        <v/>
      </c>
      <c r="AA458" s="7"/>
    </row>
    <row r="459" customFormat="false" ht="15" hidden="false" customHeight="false" outlineLevel="0" collapsed="false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8"/>
      <c r="Q459" s="8"/>
      <c r="R459" s="7"/>
      <c r="S459" s="8"/>
      <c r="T459" s="8"/>
      <c r="U459" s="7"/>
      <c r="V459" s="7"/>
      <c r="W459" s="7"/>
      <c r="X459" s="8"/>
      <c r="Y459" s="7"/>
      <c r="Z459" s="8" t="str">
        <f aca="false">IF(S459="","",S459-N(X459))</f>
        <v/>
      </c>
      <c r="AA459" s="7"/>
    </row>
    <row r="460" customFormat="false" ht="15" hidden="false" customHeight="false" outlineLevel="0" collapsed="false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8"/>
      <c r="Q460" s="8"/>
      <c r="R460" s="7"/>
      <c r="S460" s="8"/>
      <c r="T460" s="8"/>
      <c r="U460" s="7"/>
      <c r="V460" s="7"/>
      <c r="W460" s="7"/>
      <c r="X460" s="8"/>
      <c r="Y460" s="7"/>
      <c r="Z460" s="8" t="str">
        <f aca="false">IF(S460="","",S460-N(X460))</f>
        <v/>
      </c>
      <c r="AA460" s="7"/>
    </row>
    <row r="461" customFormat="false" ht="15" hidden="false" customHeight="false" outlineLevel="0" collapsed="false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8"/>
      <c r="Q461" s="8"/>
      <c r="R461" s="7"/>
      <c r="S461" s="8"/>
      <c r="T461" s="8"/>
      <c r="U461" s="7"/>
      <c r="V461" s="7"/>
      <c r="W461" s="7"/>
      <c r="X461" s="8"/>
      <c r="Y461" s="7"/>
      <c r="Z461" s="8" t="str">
        <f aca="false">IF(S461="","",S461-N(X461))</f>
        <v/>
      </c>
      <c r="AA461" s="7"/>
    </row>
    <row r="462" customFormat="false" ht="15" hidden="false" customHeight="false" outlineLevel="0" collapsed="false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8"/>
      <c r="Q462" s="8"/>
      <c r="R462" s="7"/>
      <c r="S462" s="8"/>
      <c r="T462" s="8"/>
      <c r="U462" s="7"/>
      <c r="V462" s="7"/>
      <c r="W462" s="7"/>
      <c r="X462" s="8"/>
      <c r="Y462" s="7"/>
      <c r="Z462" s="8" t="str">
        <f aca="false">IF(S462="","",S462-N(X462))</f>
        <v/>
      </c>
      <c r="AA462" s="7"/>
    </row>
    <row r="463" customFormat="false" ht="15" hidden="false" customHeight="false" outlineLevel="0" collapsed="false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8"/>
      <c r="Q463" s="8"/>
      <c r="R463" s="7"/>
      <c r="S463" s="8"/>
      <c r="T463" s="8"/>
      <c r="U463" s="7"/>
      <c r="V463" s="7"/>
      <c r="W463" s="7"/>
      <c r="X463" s="8"/>
      <c r="Y463" s="7"/>
      <c r="Z463" s="8" t="str">
        <f aca="false">IF(S463="","",S463-N(X463))</f>
        <v/>
      </c>
      <c r="AA463" s="7"/>
    </row>
    <row r="464" customFormat="false" ht="15" hidden="false" customHeight="false" outlineLevel="0" collapsed="false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8"/>
      <c r="Q464" s="8"/>
      <c r="R464" s="7"/>
      <c r="S464" s="8"/>
      <c r="T464" s="8"/>
      <c r="U464" s="7"/>
      <c r="V464" s="7"/>
      <c r="W464" s="7"/>
      <c r="X464" s="8"/>
      <c r="Y464" s="7"/>
      <c r="Z464" s="8" t="str">
        <f aca="false">IF(S464="","",S464-N(X464))</f>
        <v/>
      </c>
      <c r="AA464" s="7"/>
    </row>
    <row r="465" customFormat="false" ht="15" hidden="false" customHeight="false" outlineLevel="0" collapsed="false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8"/>
      <c r="Q465" s="8"/>
      <c r="R465" s="7"/>
      <c r="S465" s="8"/>
      <c r="T465" s="8"/>
      <c r="U465" s="7"/>
      <c r="V465" s="7"/>
      <c r="W465" s="7"/>
      <c r="X465" s="8"/>
      <c r="Y465" s="7"/>
      <c r="Z465" s="8" t="str">
        <f aca="false">IF(S465="","",S465-N(X465))</f>
        <v/>
      </c>
      <c r="AA465" s="7"/>
    </row>
    <row r="466" customFormat="false" ht="15" hidden="false" customHeight="false" outlineLevel="0" collapsed="false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8"/>
      <c r="Q466" s="8"/>
      <c r="R466" s="7"/>
      <c r="S466" s="8"/>
      <c r="T466" s="8"/>
      <c r="U466" s="7"/>
      <c r="V466" s="7"/>
      <c r="W466" s="7"/>
      <c r="X466" s="8"/>
      <c r="Y466" s="7"/>
      <c r="Z466" s="8" t="str">
        <f aca="false">IF(S466="","",S466-N(X466))</f>
        <v/>
      </c>
      <c r="AA466" s="7"/>
    </row>
    <row r="467" customFormat="false" ht="15" hidden="false" customHeight="false" outlineLevel="0" collapsed="false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8"/>
      <c r="Q467" s="8"/>
      <c r="R467" s="7"/>
      <c r="S467" s="8"/>
      <c r="T467" s="8"/>
      <c r="U467" s="7"/>
      <c r="V467" s="7"/>
      <c r="W467" s="7"/>
      <c r="X467" s="8"/>
      <c r="Y467" s="7"/>
      <c r="Z467" s="8" t="str">
        <f aca="false">IF(S467="","",S467-N(X467))</f>
        <v/>
      </c>
      <c r="AA467" s="7"/>
    </row>
    <row r="468" customFormat="false" ht="15" hidden="false" customHeight="false" outlineLevel="0" collapsed="false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8"/>
      <c r="Q468" s="8"/>
      <c r="R468" s="7"/>
      <c r="S468" s="8"/>
      <c r="T468" s="8"/>
      <c r="U468" s="7"/>
      <c r="V468" s="7"/>
      <c r="W468" s="7"/>
      <c r="X468" s="8"/>
      <c r="Y468" s="7"/>
      <c r="Z468" s="8" t="str">
        <f aca="false">IF(S468="","",S468-N(X468))</f>
        <v/>
      </c>
      <c r="AA468" s="7"/>
    </row>
    <row r="469" customFormat="false" ht="15" hidden="false" customHeight="false" outlineLevel="0" collapsed="false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8"/>
      <c r="Q469" s="8"/>
      <c r="R469" s="7"/>
      <c r="S469" s="8"/>
      <c r="T469" s="8"/>
      <c r="U469" s="7"/>
      <c r="V469" s="7"/>
      <c r="W469" s="7"/>
      <c r="X469" s="8"/>
      <c r="Y469" s="7"/>
      <c r="Z469" s="8" t="str">
        <f aca="false">IF(S469="","",S469-N(X469))</f>
        <v/>
      </c>
      <c r="AA469" s="7"/>
    </row>
    <row r="470" customFormat="false" ht="15" hidden="false" customHeight="false" outlineLevel="0" collapsed="false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8"/>
      <c r="Q470" s="8"/>
      <c r="R470" s="7"/>
      <c r="S470" s="8"/>
      <c r="T470" s="8"/>
      <c r="U470" s="7"/>
      <c r="V470" s="7"/>
      <c r="W470" s="7"/>
      <c r="X470" s="8"/>
      <c r="Y470" s="7"/>
      <c r="Z470" s="8" t="str">
        <f aca="false">IF(S470="","",S470-N(X470))</f>
        <v/>
      </c>
      <c r="AA470" s="7"/>
    </row>
    <row r="471" customFormat="false" ht="15" hidden="false" customHeight="false" outlineLevel="0" collapsed="false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8"/>
      <c r="Q471" s="8"/>
      <c r="R471" s="7"/>
      <c r="S471" s="8"/>
      <c r="T471" s="8"/>
      <c r="U471" s="7"/>
      <c r="V471" s="7"/>
      <c r="W471" s="7"/>
      <c r="X471" s="8"/>
      <c r="Y471" s="7"/>
      <c r="Z471" s="8" t="str">
        <f aca="false">IF(S471="","",S471-N(X471))</f>
        <v/>
      </c>
      <c r="AA471" s="7"/>
    </row>
    <row r="472" customFormat="false" ht="15" hidden="false" customHeight="false" outlineLevel="0" collapsed="false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8"/>
      <c r="Q472" s="8"/>
      <c r="R472" s="7"/>
      <c r="S472" s="8"/>
      <c r="T472" s="8"/>
      <c r="U472" s="7"/>
      <c r="V472" s="7"/>
      <c r="W472" s="7"/>
      <c r="X472" s="8"/>
      <c r="Y472" s="7"/>
      <c r="Z472" s="8" t="str">
        <f aca="false">IF(S472="","",S472-N(X472))</f>
        <v/>
      </c>
      <c r="AA472" s="7"/>
    </row>
    <row r="473" customFormat="false" ht="15" hidden="false" customHeight="false" outlineLevel="0" collapsed="false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8"/>
      <c r="Q473" s="8"/>
      <c r="R473" s="7"/>
      <c r="S473" s="8"/>
      <c r="T473" s="8"/>
      <c r="U473" s="7"/>
      <c r="V473" s="7"/>
      <c r="W473" s="7"/>
      <c r="X473" s="8"/>
      <c r="Y473" s="7"/>
      <c r="Z473" s="8" t="str">
        <f aca="false">IF(S473="","",S473-N(X473))</f>
        <v/>
      </c>
      <c r="AA473" s="7"/>
    </row>
    <row r="474" customFormat="false" ht="15" hidden="false" customHeight="false" outlineLevel="0" collapsed="false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8"/>
      <c r="Q474" s="8"/>
      <c r="R474" s="7"/>
      <c r="S474" s="8"/>
      <c r="T474" s="8"/>
      <c r="U474" s="7"/>
      <c r="V474" s="7"/>
      <c r="W474" s="7"/>
      <c r="X474" s="8"/>
      <c r="Y474" s="7"/>
      <c r="Z474" s="8" t="str">
        <f aca="false">IF(S474="","",S474-N(X474))</f>
        <v/>
      </c>
      <c r="AA474" s="7"/>
    </row>
    <row r="475" customFormat="false" ht="15" hidden="false" customHeight="false" outlineLevel="0" collapsed="false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8"/>
      <c r="Q475" s="8"/>
      <c r="R475" s="7"/>
      <c r="S475" s="8"/>
      <c r="T475" s="8"/>
      <c r="U475" s="7"/>
      <c r="V475" s="7"/>
      <c r="W475" s="7"/>
      <c r="X475" s="8"/>
      <c r="Y475" s="7"/>
      <c r="Z475" s="8" t="str">
        <f aca="false">IF(S475="","",S475-N(X475))</f>
        <v/>
      </c>
      <c r="AA475" s="7"/>
    </row>
    <row r="476" customFormat="false" ht="15" hidden="false" customHeight="false" outlineLevel="0" collapsed="false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8"/>
      <c r="Q476" s="8"/>
      <c r="R476" s="7"/>
      <c r="S476" s="8"/>
      <c r="T476" s="8"/>
      <c r="U476" s="7"/>
      <c r="V476" s="7"/>
      <c r="W476" s="7"/>
      <c r="X476" s="8"/>
      <c r="Y476" s="7"/>
      <c r="Z476" s="8" t="str">
        <f aca="false">IF(S476="","",S476-N(X476))</f>
        <v/>
      </c>
      <c r="AA476" s="7"/>
    </row>
    <row r="477" customFormat="false" ht="15" hidden="false" customHeight="false" outlineLevel="0" collapsed="false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8"/>
      <c r="Q477" s="8"/>
      <c r="R477" s="7"/>
      <c r="S477" s="8"/>
      <c r="T477" s="8"/>
      <c r="U477" s="7"/>
      <c r="V477" s="7"/>
      <c r="W477" s="7"/>
      <c r="X477" s="8"/>
      <c r="Y477" s="7"/>
      <c r="Z477" s="8" t="str">
        <f aca="false">IF(S477="","",S477-N(X477))</f>
        <v/>
      </c>
      <c r="AA477" s="7"/>
    </row>
    <row r="478" customFormat="false" ht="15" hidden="false" customHeight="false" outlineLevel="0" collapsed="false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8"/>
      <c r="Q478" s="8"/>
      <c r="R478" s="7"/>
      <c r="S478" s="8"/>
      <c r="T478" s="8"/>
      <c r="U478" s="7"/>
      <c r="V478" s="7"/>
      <c r="W478" s="7"/>
      <c r="X478" s="8"/>
      <c r="Y478" s="7"/>
      <c r="Z478" s="8" t="str">
        <f aca="false">IF(S478="","",S478-N(X478))</f>
        <v/>
      </c>
      <c r="AA478" s="7"/>
    </row>
    <row r="479" customFormat="false" ht="15" hidden="false" customHeight="false" outlineLevel="0" collapsed="false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8"/>
      <c r="Q479" s="8"/>
      <c r="R479" s="7"/>
      <c r="S479" s="8"/>
      <c r="T479" s="8"/>
      <c r="U479" s="7"/>
      <c r="V479" s="7"/>
      <c r="W479" s="7"/>
      <c r="X479" s="8"/>
      <c r="Y479" s="7"/>
      <c r="Z479" s="8" t="str">
        <f aca="false">IF(S479="","",S479-N(X479))</f>
        <v/>
      </c>
      <c r="AA479" s="7"/>
    </row>
    <row r="480" customFormat="false" ht="15" hidden="false" customHeight="false" outlineLevel="0" collapsed="false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8"/>
      <c r="Q480" s="8"/>
      <c r="R480" s="7"/>
      <c r="S480" s="8"/>
      <c r="T480" s="8"/>
      <c r="U480" s="7"/>
      <c r="V480" s="7"/>
      <c r="W480" s="7"/>
      <c r="X480" s="8"/>
      <c r="Y480" s="7"/>
      <c r="Z480" s="8" t="str">
        <f aca="false">IF(S480="","",S480-N(X480))</f>
        <v/>
      </c>
      <c r="AA480" s="7"/>
    </row>
    <row r="481" customFormat="false" ht="15" hidden="false" customHeight="false" outlineLevel="0" collapsed="false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8"/>
      <c r="Q481" s="8"/>
      <c r="R481" s="7"/>
      <c r="S481" s="8"/>
      <c r="T481" s="8"/>
      <c r="U481" s="7"/>
      <c r="V481" s="7"/>
      <c r="W481" s="7"/>
      <c r="X481" s="8"/>
      <c r="Y481" s="7"/>
      <c r="Z481" s="8" t="str">
        <f aca="false">IF(S481="","",S481-N(X481))</f>
        <v/>
      </c>
      <c r="AA481" s="7"/>
    </row>
    <row r="482" customFormat="false" ht="15" hidden="false" customHeight="false" outlineLevel="0" collapsed="false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8"/>
      <c r="Q482" s="8"/>
      <c r="R482" s="7"/>
      <c r="S482" s="8"/>
      <c r="T482" s="8"/>
      <c r="U482" s="7"/>
      <c r="V482" s="7"/>
      <c r="W482" s="7"/>
      <c r="X482" s="8"/>
      <c r="Y482" s="7"/>
      <c r="Z482" s="8" t="str">
        <f aca="false">IF(S482="","",S482-N(X482))</f>
        <v/>
      </c>
      <c r="AA482" s="7"/>
    </row>
    <row r="483" customFormat="false" ht="15" hidden="false" customHeight="false" outlineLevel="0" collapsed="false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8"/>
      <c r="Q483" s="8"/>
      <c r="R483" s="7"/>
      <c r="S483" s="8"/>
      <c r="T483" s="8"/>
      <c r="U483" s="7"/>
      <c r="V483" s="7"/>
      <c r="W483" s="7"/>
      <c r="X483" s="8"/>
      <c r="Y483" s="7"/>
      <c r="Z483" s="8" t="str">
        <f aca="false">IF(S483="","",S483-N(X483))</f>
        <v/>
      </c>
      <c r="AA483" s="7"/>
    </row>
    <row r="484" customFormat="false" ht="15" hidden="false" customHeight="false" outlineLevel="0" collapsed="false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8"/>
      <c r="Q484" s="8"/>
      <c r="R484" s="7"/>
      <c r="S484" s="8"/>
      <c r="T484" s="8"/>
      <c r="U484" s="7"/>
      <c r="V484" s="7"/>
      <c r="W484" s="7"/>
      <c r="X484" s="8"/>
      <c r="Y484" s="7"/>
      <c r="Z484" s="8" t="str">
        <f aca="false">IF(S484="","",S484-N(X484))</f>
        <v/>
      </c>
      <c r="AA484" s="7"/>
    </row>
    <row r="485" customFormat="false" ht="15" hidden="false" customHeight="false" outlineLevel="0" collapsed="false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8"/>
      <c r="Q485" s="8"/>
      <c r="R485" s="7"/>
      <c r="S485" s="8"/>
      <c r="T485" s="8"/>
      <c r="U485" s="7"/>
      <c r="V485" s="7"/>
      <c r="W485" s="7"/>
      <c r="X485" s="8"/>
      <c r="Y485" s="7"/>
      <c r="Z485" s="8" t="str">
        <f aca="false">IF(S485="","",S485-N(X485))</f>
        <v/>
      </c>
      <c r="AA485" s="7"/>
    </row>
    <row r="486" customFormat="false" ht="15" hidden="false" customHeight="false" outlineLevel="0" collapsed="false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8"/>
      <c r="Q486" s="8"/>
      <c r="R486" s="7"/>
      <c r="S486" s="8"/>
      <c r="T486" s="8"/>
      <c r="U486" s="7"/>
      <c r="V486" s="7"/>
      <c r="W486" s="7"/>
      <c r="X486" s="8"/>
      <c r="Y486" s="7"/>
      <c r="Z486" s="8" t="str">
        <f aca="false">IF(S486="","",S486-N(X486))</f>
        <v/>
      </c>
      <c r="AA486" s="7"/>
    </row>
    <row r="487" customFormat="false" ht="15" hidden="false" customHeight="false" outlineLevel="0" collapsed="false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8"/>
      <c r="Q487" s="8"/>
      <c r="R487" s="7"/>
      <c r="S487" s="8"/>
      <c r="T487" s="8"/>
      <c r="U487" s="7"/>
      <c r="V487" s="7"/>
      <c r="W487" s="7"/>
      <c r="X487" s="8"/>
      <c r="Y487" s="7"/>
      <c r="Z487" s="8" t="str">
        <f aca="false">IF(S487="","",S487-N(X487))</f>
        <v/>
      </c>
      <c r="AA487" s="7"/>
    </row>
    <row r="488" customFormat="false" ht="15" hidden="false" customHeight="false" outlineLevel="0" collapsed="false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8"/>
      <c r="Q488" s="8"/>
      <c r="R488" s="7"/>
      <c r="S488" s="8"/>
      <c r="T488" s="8"/>
      <c r="U488" s="7"/>
      <c r="V488" s="7"/>
      <c r="W488" s="7"/>
      <c r="X488" s="8"/>
      <c r="Y488" s="7"/>
      <c r="Z488" s="8" t="str">
        <f aca="false">IF(S488="","",S488-N(X488))</f>
        <v/>
      </c>
      <c r="AA488" s="7"/>
    </row>
    <row r="489" customFormat="false" ht="15" hidden="false" customHeight="false" outlineLevel="0" collapsed="false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8"/>
      <c r="Q489" s="8"/>
      <c r="R489" s="7"/>
      <c r="S489" s="8"/>
      <c r="T489" s="8"/>
      <c r="U489" s="7"/>
      <c r="V489" s="7"/>
      <c r="W489" s="7"/>
      <c r="X489" s="8"/>
      <c r="Y489" s="7"/>
      <c r="Z489" s="8" t="str">
        <f aca="false">IF(S489="","",S489-N(X489))</f>
        <v/>
      </c>
      <c r="AA489" s="7"/>
    </row>
    <row r="490" customFormat="false" ht="15" hidden="false" customHeight="false" outlineLevel="0" collapsed="false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8"/>
      <c r="Q490" s="8"/>
      <c r="R490" s="7"/>
      <c r="S490" s="8"/>
      <c r="T490" s="8"/>
      <c r="U490" s="7"/>
      <c r="V490" s="7"/>
      <c r="W490" s="7"/>
      <c r="X490" s="8"/>
      <c r="Y490" s="7"/>
      <c r="Z490" s="8" t="str">
        <f aca="false">IF(S490="","",S490-N(X490))</f>
        <v/>
      </c>
      <c r="AA490" s="7"/>
    </row>
    <row r="491" customFormat="false" ht="15" hidden="false" customHeight="false" outlineLevel="0" collapsed="false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8"/>
      <c r="Q491" s="8"/>
      <c r="R491" s="7"/>
      <c r="S491" s="8"/>
      <c r="T491" s="8"/>
      <c r="U491" s="7"/>
      <c r="V491" s="7"/>
      <c r="W491" s="7"/>
      <c r="X491" s="8"/>
      <c r="Y491" s="7"/>
      <c r="Z491" s="8" t="str">
        <f aca="false">IF(S491="","",S491-N(X491))</f>
        <v/>
      </c>
      <c r="AA491" s="7"/>
    </row>
    <row r="492" customFormat="false" ht="15" hidden="false" customHeight="false" outlineLevel="0" collapsed="false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8"/>
      <c r="Q492" s="8"/>
      <c r="R492" s="7"/>
      <c r="S492" s="8"/>
      <c r="T492" s="8"/>
      <c r="U492" s="7"/>
      <c r="V492" s="7"/>
      <c r="W492" s="7"/>
      <c r="X492" s="8"/>
      <c r="Y492" s="7"/>
      <c r="Z492" s="8" t="str">
        <f aca="false">IF(S492="","",S492-N(X492))</f>
        <v/>
      </c>
      <c r="AA492" s="7"/>
    </row>
    <row r="493" customFormat="false" ht="15" hidden="false" customHeight="false" outlineLevel="0" collapsed="false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8"/>
      <c r="Q493" s="8"/>
      <c r="R493" s="7"/>
      <c r="S493" s="8"/>
      <c r="T493" s="8"/>
      <c r="U493" s="7"/>
      <c r="V493" s="7"/>
      <c r="W493" s="7"/>
      <c r="X493" s="8"/>
      <c r="Y493" s="7"/>
      <c r="Z493" s="8" t="str">
        <f aca="false">IF(S493="","",S493-N(X493))</f>
        <v/>
      </c>
      <c r="AA493" s="7"/>
    </row>
    <row r="494" customFormat="false" ht="15" hidden="false" customHeight="false" outlineLevel="0" collapsed="false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8"/>
      <c r="Q494" s="8"/>
      <c r="R494" s="7"/>
      <c r="S494" s="8"/>
      <c r="T494" s="8"/>
      <c r="U494" s="7"/>
      <c r="V494" s="7"/>
      <c r="W494" s="7"/>
      <c r="X494" s="8"/>
      <c r="Y494" s="7"/>
      <c r="Z494" s="8" t="str">
        <f aca="false">IF(S494="","",S494-N(X494))</f>
        <v/>
      </c>
      <c r="AA494" s="7"/>
    </row>
    <row r="495" customFormat="false" ht="15" hidden="false" customHeight="false" outlineLevel="0" collapsed="false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8"/>
      <c r="Q495" s="8"/>
      <c r="R495" s="7"/>
      <c r="S495" s="8"/>
      <c r="T495" s="8"/>
      <c r="U495" s="7"/>
      <c r="V495" s="7"/>
      <c r="W495" s="7"/>
      <c r="X495" s="8"/>
      <c r="Y495" s="7"/>
      <c r="Z495" s="8" t="str">
        <f aca="false">IF(S495="","",S495-N(X495))</f>
        <v/>
      </c>
      <c r="AA495" s="7"/>
    </row>
    <row r="496" customFormat="false" ht="15" hidden="false" customHeight="false" outlineLevel="0" collapsed="false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8"/>
      <c r="Q496" s="8"/>
      <c r="R496" s="7"/>
      <c r="S496" s="8"/>
      <c r="T496" s="8"/>
      <c r="U496" s="7"/>
      <c r="V496" s="7"/>
      <c r="W496" s="7"/>
      <c r="X496" s="8"/>
      <c r="Y496" s="7"/>
      <c r="Z496" s="8" t="str">
        <f aca="false">IF(S496="","",S496-N(X496))</f>
        <v/>
      </c>
      <c r="AA496" s="7"/>
    </row>
    <row r="497" customFormat="false" ht="15" hidden="false" customHeight="false" outlineLevel="0" collapsed="false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8"/>
      <c r="Q497" s="8"/>
      <c r="R497" s="7"/>
      <c r="S497" s="8"/>
      <c r="T497" s="8"/>
      <c r="U497" s="7"/>
      <c r="V497" s="7"/>
      <c r="W497" s="7"/>
      <c r="X497" s="8"/>
      <c r="Y497" s="7"/>
      <c r="Z497" s="8" t="str">
        <f aca="false">IF(S497="","",S497-N(X497))</f>
        <v/>
      </c>
      <c r="AA497" s="7"/>
    </row>
    <row r="498" customFormat="false" ht="15" hidden="false" customHeight="false" outlineLevel="0" collapsed="false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8"/>
      <c r="Q498" s="8"/>
      <c r="R498" s="7"/>
      <c r="S498" s="8"/>
      <c r="T498" s="8"/>
      <c r="U498" s="7"/>
      <c r="V498" s="7"/>
      <c r="W498" s="7"/>
      <c r="X498" s="8"/>
      <c r="Y498" s="7"/>
      <c r="Z498" s="8" t="str">
        <f aca="false">IF(S498="","",S498-N(X498))</f>
        <v/>
      </c>
      <c r="AA498" s="7"/>
    </row>
    <row r="499" customFormat="false" ht="15" hidden="false" customHeight="false" outlineLevel="0" collapsed="false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8"/>
      <c r="Q499" s="8"/>
      <c r="R499" s="7"/>
      <c r="S499" s="8"/>
      <c r="T499" s="8"/>
      <c r="U499" s="7"/>
      <c r="V499" s="7"/>
      <c r="W499" s="7"/>
      <c r="X499" s="8"/>
      <c r="Y499" s="7"/>
      <c r="Z499" s="8" t="str">
        <f aca="false">IF(S499="","",S499-N(X499))</f>
        <v/>
      </c>
      <c r="AA499" s="7"/>
    </row>
    <row r="500" customFormat="false" ht="15" hidden="false" customHeight="false" outlineLevel="0" collapsed="false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8"/>
      <c r="Q500" s="8"/>
      <c r="R500" s="7"/>
      <c r="S500" s="8"/>
      <c r="T500" s="8"/>
      <c r="U500" s="7"/>
      <c r="V500" s="7"/>
      <c r="W500" s="7"/>
      <c r="X500" s="8"/>
      <c r="Y500" s="7"/>
      <c r="Z500" s="8" t="str">
        <f aca="false">IF(S500="","",S500-N(X500))</f>
        <v/>
      </c>
      <c r="AA500" s="7"/>
    </row>
    <row r="501" customFormat="false" ht="15" hidden="false" customHeight="false" outlineLevel="0" collapsed="false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8"/>
      <c r="Q501" s="8"/>
      <c r="R501" s="7"/>
      <c r="S501" s="8"/>
      <c r="T501" s="8"/>
      <c r="U501" s="7"/>
      <c r="V501" s="7"/>
      <c r="W501" s="7"/>
      <c r="X501" s="8"/>
      <c r="Y501" s="7"/>
      <c r="Z501" s="8" t="str">
        <f aca="false">IF(S501="","",S501-N(X501))</f>
        <v/>
      </c>
      <c r="AA501" s="7"/>
    </row>
  </sheetData>
  <dataValidations count="3">
    <dataValidation allowBlank="true" errorStyle="stop" operator="between" showDropDown="false" showErrorMessage="false" showInputMessage="false" sqref="R2:R501" type="list">
      <formula1>"Draf,Dikonfirmasi,Dikerjakan,Revisi,Selesai,Dibatalkan,Ditolak,Contoh"</formula1>
      <formula2>0</formula2>
    </dataValidation>
    <dataValidation allowBlank="true" errorStyle="stop" operator="between" showDropDown="false" showErrorMessage="false" showInputMessage="false" sqref="U2:U501" type="list">
      <formula1>"Belum bayar,DP,Lunas"</formula1>
      <formula2>0</formula2>
    </dataValidation>
    <dataValidation allowBlank="true" errorStyle="stop" operator="between" showDropDown="false" showErrorMessage="false" showInputMessage="false" sqref="C2:C501" type="list">
      <formula1>"Pelajar,Mahasiswa"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4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8"/>
  </cols>
  <sheetData>
    <row r="1" customFormat="false" ht="23.85" hidden="false" customHeight="false" outlineLevel="0" collapsed="false">
      <c r="A1" s="4" t="s">
        <v>66</v>
      </c>
      <c r="B1" s="4" t="s">
        <v>25</v>
      </c>
      <c r="C1" s="4" t="s">
        <v>7</v>
      </c>
      <c r="D1" s="4" t="s">
        <v>67</v>
      </c>
      <c r="E1" s="4" t="s">
        <v>68</v>
      </c>
      <c r="F1" s="4" t="s">
        <v>69</v>
      </c>
      <c r="G1" s="4" t="s">
        <v>70</v>
      </c>
      <c r="H1" s="4" t="s">
        <v>71</v>
      </c>
      <c r="I1" s="4" t="s">
        <v>72</v>
      </c>
    </row>
    <row r="2" customFormat="false" ht="15" hidden="false" customHeight="false" outlineLevel="0" collapsed="false">
      <c r="A2" s="9" t="str">
        <f aca="false">B2&amp;" - "&amp;C2</f>
        <v>Mahasiswa - Kerangka/outline (makalah, esai, proposal)</v>
      </c>
      <c r="B2" s="9" t="s">
        <v>52</v>
      </c>
      <c r="C2" s="10" t="s">
        <v>73</v>
      </c>
      <c r="D2" s="11" t="n">
        <v>10000</v>
      </c>
      <c r="E2" s="10" t="n">
        <v>1</v>
      </c>
      <c r="F2" s="10" t="s">
        <v>74</v>
      </c>
      <c r="G2" s="11" t="n">
        <v>0</v>
      </c>
      <c r="H2" s="10" t="s">
        <v>75</v>
      </c>
      <c r="I2" s="10" t="s">
        <v>76</v>
      </c>
    </row>
    <row r="3" customFormat="false" ht="15" hidden="false" customHeight="false" outlineLevel="0" collapsed="false">
      <c r="A3" s="9" t="str">
        <f aca="false">B3&amp;" - "&amp;C3</f>
        <v>Mahasiswa - Ringkasan materi/jurnal</v>
      </c>
      <c r="B3" s="9" t="s">
        <v>52</v>
      </c>
      <c r="C3" s="10" t="s">
        <v>77</v>
      </c>
      <c r="D3" s="11" t="n">
        <v>10000</v>
      </c>
      <c r="E3" s="10" t="n">
        <v>2</v>
      </c>
      <c r="F3" s="10" t="s">
        <v>78</v>
      </c>
      <c r="G3" s="11" t="n">
        <v>3000</v>
      </c>
      <c r="H3" s="10" t="s">
        <v>75</v>
      </c>
      <c r="I3" s="10" t="s">
        <v>76</v>
      </c>
    </row>
    <row r="4" customFormat="false" ht="15" hidden="false" customHeight="false" outlineLevel="0" collapsed="false">
      <c r="A4" s="9" t="str">
        <f aca="false">B4&amp;" - "&amp;C4</f>
        <v>Mahasiswa - Resume/review jurnal atau buku</v>
      </c>
      <c r="B4" s="9" t="s">
        <v>52</v>
      </c>
      <c r="C4" s="10" t="s">
        <v>79</v>
      </c>
      <c r="D4" s="11" t="n">
        <v>20000</v>
      </c>
      <c r="E4" s="10" t="n">
        <v>2</v>
      </c>
      <c r="F4" s="10" t="s">
        <v>78</v>
      </c>
      <c r="G4" s="11" t="n">
        <v>5000</v>
      </c>
      <c r="H4" s="10" t="s">
        <v>75</v>
      </c>
      <c r="I4" s="10" t="s">
        <v>76</v>
      </c>
    </row>
    <row r="5" customFormat="false" ht="15" hidden="false" customHeight="false" outlineLevel="0" collapsed="false">
      <c r="A5" s="9" t="str">
        <f aca="false">B5&amp;" - "&amp;C5</f>
        <v>Mahasiswa - Draf esai/opini</v>
      </c>
      <c r="B5" s="9" t="s">
        <v>52</v>
      </c>
      <c r="C5" s="10" t="s">
        <v>80</v>
      </c>
      <c r="D5" s="11" t="n">
        <v>25000</v>
      </c>
      <c r="E5" s="10" t="n">
        <v>3</v>
      </c>
      <c r="F5" s="10" t="s">
        <v>78</v>
      </c>
      <c r="G5" s="11" t="n">
        <v>7000</v>
      </c>
      <c r="H5" s="10" t="s">
        <v>75</v>
      </c>
      <c r="I5" s="10" t="s">
        <v>76</v>
      </c>
    </row>
    <row r="6" customFormat="false" ht="15" hidden="false" customHeight="false" outlineLevel="0" collapsed="false">
      <c r="A6" s="9" t="str">
        <f aca="false">B6&amp;" - "&amp;C6</f>
        <v>Mahasiswa - Draf makalah</v>
      </c>
      <c r="B6" s="9" t="s">
        <v>52</v>
      </c>
      <c r="C6" s="10" t="s">
        <v>55</v>
      </c>
      <c r="D6" s="11" t="n">
        <v>40000</v>
      </c>
      <c r="E6" s="10" t="n">
        <v>5</v>
      </c>
      <c r="F6" s="10" t="s">
        <v>78</v>
      </c>
      <c r="G6" s="11" t="n">
        <v>6000</v>
      </c>
      <c r="H6" s="10" t="s">
        <v>75</v>
      </c>
      <c r="I6" s="10" t="s">
        <v>76</v>
      </c>
    </row>
    <row r="7" customFormat="false" ht="15" hidden="false" customHeight="false" outlineLevel="0" collapsed="false">
      <c r="A7" s="9" t="str">
        <f aca="false">B7&amp;" - "&amp;C7</f>
        <v>Mahasiswa - Analisis/studi kasus</v>
      </c>
      <c r="B7" s="9" t="s">
        <v>52</v>
      </c>
      <c r="C7" s="10" t="s">
        <v>81</v>
      </c>
      <c r="D7" s="11" t="n">
        <v>35000</v>
      </c>
      <c r="E7" s="10" t="n">
        <v>3</v>
      </c>
      <c r="F7" s="10" t="s">
        <v>78</v>
      </c>
      <c r="G7" s="11" t="n">
        <v>8000</v>
      </c>
      <c r="H7" s="10" t="s">
        <v>75</v>
      </c>
      <c r="I7" s="10" t="s">
        <v>76</v>
      </c>
    </row>
    <row r="8" customFormat="false" ht="15" hidden="false" customHeight="false" outlineLevel="0" collapsed="false">
      <c r="A8" s="9" t="str">
        <f aca="false">B8&amp;" - "&amp;C8</f>
        <v>Mahasiswa - Laporan praktikum/kegiatan</v>
      </c>
      <c r="B8" s="9" t="s">
        <v>52</v>
      </c>
      <c r="C8" s="10" t="s">
        <v>82</v>
      </c>
      <c r="D8" s="11" t="n">
        <v>45000</v>
      </c>
      <c r="E8" s="10" t="n">
        <v>5</v>
      </c>
      <c r="F8" s="10" t="s">
        <v>78</v>
      </c>
      <c r="G8" s="11" t="n">
        <v>7000</v>
      </c>
      <c r="H8" s="10" t="s">
        <v>75</v>
      </c>
      <c r="I8" s="10" t="s">
        <v>76</v>
      </c>
    </row>
    <row r="9" customFormat="false" ht="15" hidden="false" customHeight="false" outlineLevel="0" collapsed="false">
      <c r="A9" s="9" t="str">
        <f aca="false">B9&amp;" - "&amp;C9</f>
        <v>Mahasiswa - Proposal (kegiatan, lomba, penelitian)</v>
      </c>
      <c r="B9" s="9" t="s">
        <v>52</v>
      </c>
      <c r="C9" s="10" t="s">
        <v>83</v>
      </c>
      <c r="D9" s="11" t="n">
        <v>55000</v>
      </c>
      <c r="E9" s="10" t="n">
        <v>8</v>
      </c>
      <c r="F9" s="10" t="s">
        <v>78</v>
      </c>
      <c r="G9" s="11" t="n">
        <v>6000</v>
      </c>
      <c r="H9" s="10" t="s">
        <v>75</v>
      </c>
      <c r="I9" s="10" t="s">
        <v>76</v>
      </c>
    </row>
    <row r="10" customFormat="false" ht="15" hidden="false" customHeight="false" outlineLevel="0" collapsed="false">
      <c r="A10" s="9" t="str">
        <f aca="false">B10&amp;" - "&amp;C10</f>
        <v>Mahasiswa - PPT presentasi</v>
      </c>
      <c r="B10" s="9" t="s">
        <v>52</v>
      </c>
      <c r="C10" s="10" t="s">
        <v>84</v>
      </c>
      <c r="D10" s="11" t="n">
        <v>25000</v>
      </c>
      <c r="E10" s="10" t="n">
        <v>10</v>
      </c>
      <c r="F10" s="10" t="s">
        <v>85</v>
      </c>
      <c r="G10" s="11" t="n">
        <v>2000</v>
      </c>
      <c r="H10" s="10" t="s">
        <v>86</v>
      </c>
      <c r="I10" s="10" t="s">
        <v>76</v>
      </c>
    </row>
    <row r="11" customFormat="false" ht="15" hidden="false" customHeight="false" outlineLevel="0" collapsed="false">
      <c r="A11" s="9" t="str">
        <f aca="false">B11&amp;" - "&amp;C11</f>
        <v>Mahasiswa - Olah data + interpretasi</v>
      </c>
      <c r="B11" s="9" t="s">
        <v>52</v>
      </c>
      <c r="C11" s="10" t="s">
        <v>87</v>
      </c>
      <c r="D11" s="11" t="n">
        <v>35000</v>
      </c>
      <c r="E11" s="10" t="n">
        <v>2</v>
      </c>
      <c r="F11" s="10" t="s">
        <v>78</v>
      </c>
      <c r="G11" s="11" t="n">
        <v>8000</v>
      </c>
      <c r="H11" s="10" t="s">
        <v>88</v>
      </c>
      <c r="I11" s="10" t="s">
        <v>76</v>
      </c>
    </row>
    <row r="12" customFormat="false" ht="15" hidden="false" customHeight="false" outlineLevel="0" collapsed="false">
      <c r="A12" s="9" t="str">
        <f aca="false">B12&amp;" - "&amp;C12</f>
        <v>Mahasiswa - Soal latihan + pembahasan dari materi</v>
      </c>
      <c r="B12" s="9" t="s">
        <v>52</v>
      </c>
      <c r="C12" s="10" t="s">
        <v>89</v>
      </c>
      <c r="D12" s="11" t="n">
        <v>15000</v>
      </c>
      <c r="E12" s="10" t="n">
        <v>10</v>
      </c>
      <c r="F12" s="10" t="s">
        <v>90</v>
      </c>
      <c r="G12" s="11" t="n">
        <v>1000</v>
      </c>
      <c r="H12" s="10" t="s">
        <v>75</v>
      </c>
      <c r="I12" s="10" t="s">
        <v>76</v>
      </c>
    </row>
    <row r="13" customFormat="false" ht="15" hidden="false" customHeight="false" outlineLevel="0" collapsed="false">
      <c r="A13" s="9" t="str">
        <f aca="false">B13&amp;" - "&amp;C13</f>
        <v>Mahasiswa - Perbaikan bahasa dan format (APA, daftar pustaka)</v>
      </c>
      <c r="B13" s="9" t="s">
        <v>52</v>
      </c>
      <c r="C13" s="10" t="s">
        <v>91</v>
      </c>
      <c r="D13" s="11" t="n">
        <v>10000</v>
      </c>
      <c r="E13" s="10" t="n">
        <v>10</v>
      </c>
      <c r="F13" s="10" t="s">
        <v>78</v>
      </c>
      <c r="G13" s="11" t="n">
        <v>1000</v>
      </c>
      <c r="H13" s="10" t="s">
        <v>75</v>
      </c>
      <c r="I13" s="10" t="s">
        <v>76</v>
      </c>
    </row>
    <row r="14" customFormat="false" ht="15" hidden="false" customHeight="false" outlineLevel="0" collapsed="false">
      <c r="A14" s="9" t="str">
        <f aca="false">B14&amp;" - "&amp;C14</f>
        <v>Mahasiswa - CV, surat lamaran, motivation letter</v>
      </c>
      <c r="B14" s="9" t="s">
        <v>52</v>
      </c>
      <c r="C14" s="10" t="s">
        <v>92</v>
      </c>
      <c r="D14" s="11" t="n">
        <v>15000</v>
      </c>
      <c r="E14" s="10" t="n">
        <v>1</v>
      </c>
      <c r="F14" s="10" t="s">
        <v>93</v>
      </c>
      <c r="G14" s="11" t="n">
        <v>0</v>
      </c>
      <c r="H14" s="10" t="s">
        <v>75</v>
      </c>
      <c r="I14" s="10" t="s">
        <v>76</v>
      </c>
    </row>
    <row r="15" customFormat="false" ht="15" hidden="false" customHeight="false" outlineLevel="0" collapsed="false">
      <c r="A15" s="9" t="str">
        <f aca="false">B15&amp;" - "&amp;C15</f>
        <v>Mahasiswa - Coding tugas kecil</v>
      </c>
      <c r="B15" s="9" t="s">
        <v>52</v>
      </c>
      <c r="C15" s="10" t="s">
        <v>94</v>
      </c>
      <c r="D15" s="11" t="n">
        <v>50000</v>
      </c>
      <c r="E15" s="10" t="n">
        <v>1</v>
      </c>
      <c r="F15" s="10" t="s">
        <v>95</v>
      </c>
      <c r="G15" s="11" t="n">
        <v>30000</v>
      </c>
      <c r="H15" s="10" t="s">
        <v>96</v>
      </c>
      <c r="I15" s="10" t="s">
        <v>76</v>
      </c>
    </row>
    <row r="16" customFormat="false" ht="15" hidden="false" customHeight="false" outlineLevel="0" collapsed="false">
      <c r="A16" s="9" t="str">
        <f aca="false">B16&amp;" - "&amp;C16</f>
        <v>Mahasiswa - Tugas lainnya</v>
      </c>
      <c r="B16" s="9" t="s">
        <v>52</v>
      </c>
      <c r="C16" s="10" t="s">
        <v>97</v>
      </c>
      <c r="D16" s="11" t="n">
        <v>25000</v>
      </c>
      <c r="E16" s="10" t="n">
        <v>2</v>
      </c>
      <c r="F16" s="10" t="s">
        <v>98</v>
      </c>
      <c r="G16" s="11" t="n">
        <v>6000</v>
      </c>
      <c r="H16" s="10" t="s">
        <v>75</v>
      </c>
      <c r="I16" s="10" t="s">
        <v>76</v>
      </c>
    </row>
    <row r="17" customFormat="false" ht="15" hidden="false" customHeight="false" outlineLevel="0" collapsed="false">
      <c r="A17" s="9" t="str">
        <f aca="false">B17&amp;" - "&amp;C17</f>
        <v>Pelajar - Kerangka karangan/esai</v>
      </c>
      <c r="B17" s="9" t="s">
        <v>99</v>
      </c>
      <c r="C17" s="10" t="s">
        <v>100</v>
      </c>
      <c r="D17" s="11" t="n">
        <v>7000</v>
      </c>
      <c r="E17" s="10" t="n">
        <v>1</v>
      </c>
      <c r="F17" s="10" t="s">
        <v>74</v>
      </c>
      <c r="G17" s="11" t="n">
        <v>0</v>
      </c>
      <c r="H17" s="10" t="s">
        <v>75</v>
      </c>
      <c r="I17" s="10" t="s">
        <v>76</v>
      </c>
    </row>
    <row r="18" customFormat="false" ht="15" hidden="false" customHeight="false" outlineLevel="0" collapsed="false">
      <c r="A18" s="9" t="str">
        <f aca="false">B18&amp;" - "&amp;C18</f>
        <v>Pelajar - Ringkasan materi pelajaran</v>
      </c>
      <c r="B18" s="9" t="s">
        <v>99</v>
      </c>
      <c r="C18" s="10" t="s">
        <v>101</v>
      </c>
      <c r="D18" s="11" t="n">
        <v>7000</v>
      </c>
      <c r="E18" s="10" t="n">
        <v>2</v>
      </c>
      <c r="F18" s="10" t="s">
        <v>78</v>
      </c>
      <c r="G18" s="11" t="n">
        <v>2000</v>
      </c>
      <c r="H18" s="10" t="s">
        <v>75</v>
      </c>
      <c r="I18" s="10" t="s">
        <v>76</v>
      </c>
    </row>
    <row r="19" customFormat="false" ht="15" hidden="false" customHeight="false" outlineLevel="0" collapsed="false">
      <c r="A19" s="9" t="str">
        <f aca="false">B19&amp;" - "&amp;C19</f>
        <v>Pelajar - Resume buku/film/artikel</v>
      </c>
      <c r="B19" s="9" t="s">
        <v>99</v>
      </c>
      <c r="C19" s="10" t="s">
        <v>102</v>
      </c>
      <c r="D19" s="11" t="n">
        <v>12000</v>
      </c>
      <c r="E19" s="10" t="n">
        <v>2</v>
      </c>
      <c r="F19" s="10" t="s">
        <v>78</v>
      </c>
      <c r="G19" s="11" t="n">
        <v>3000</v>
      </c>
      <c r="H19" s="10" t="s">
        <v>75</v>
      </c>
      <c r="I19" s="10" t="s">
        <v>76</v>
      </c>
    </row>
    <row r="20" customFormat="false" ht="15" hidden="false" customHeight="false" outlineLevel="0" collapsed="false">
      <c r="A20" s="9" t="str">
        <f aca="false">B20&amp;" - "&amp;C20</f>
        <v>Pelajar - Draf karangan/esai</v>
      </c>
      <c r="B20" s="9" t="s">
        <v>99</v>
      </c>
      <c r="C20" s="10" t="s">
        <v>103</v>
      </c>
      <c r="D20" s="11" t="n">
        <v>15000</v>
      </c>
      <c r="E20" s="10" t="n">
        <v>2</v>
      </c>
      <c r="F20" s="10" t="s">
        <v>78</v>
      </c>
      <c r="G20" s="11" t="n">
        <v>5000</v>
      </c>
      <c r="H20" s="10" t="s">
        <v>75</v>
      </c>
      <c r="I20" s="10" t="s">
        <v>76</v>
      </c>
    </row>
    <row r="21" customFormat="false" ht="15" hidden="false" customHeight="false" outlineLevel="0" collapsed="false">
      <c r="A21" s="9" t="str">
        <f aca="false">B21&amp;" - "&amp;C21</f>
        <v>Pelajar - Draf makalah/laporan observasi</v>
      </c>
      <c r="B21" s="9" t="s">
        <v>99</v>
      </c>
      <c r="C21" s="10" t="s">
        <v>104</v>
      </c>
      <c r="D21" s="11" t="n">
        <v>25000</v>
      </c>
      <c r="E21" s="10" t="n">
        <v>4</v>
      </c>
      <c r="F21" s="10" t="s">
        <v>78</v>
      </c>
      <c r="G21" s="11" t="n">
        <v>5000</v>
      </c>
      <c r="H21" s="10" t="s">
        <v>75</v>
      </c>
      <c r="I21" s="10" t="s">
        <v>76</v>
      </c>
    </row>
    <row r="22" customFormat="false" ht="15" hidden="false" customHeight="false" outlineLevel="0" collapsed="false">
      <c r="A22" s="9" t="str">
        <f aca="false">B22&amp;" - "&amp;C22</f>
        <v>Pelajar - Proposal/laporan kegiatan OSIS/ekskul</v>
      </c>
      <c r="B22" s="9" t="s">
        <v>99</v>
      </c>
      <c r="C22" s="10" t="s">
        <v>105</v>
      </c>
      <c r="D22" s="11" t="n">
        <v>25000</v>
      </c>
      <c r="E22" s="10" t="n">
        <v>4</v>
      </c>
      <c r="F22" s="10" t="s">
        <v>78</v>
      </c>
      <c r="G22" s="11" t="n">
        <v>5000</v>
      </c>
      <c r="H22" s="10" t="s">
        <v>75</v>
      </c>
      <c r="I22" s="10" t="s">
        <v>76</v>
      </c>
    </row>
    <row r="23" customFormat="false" ht="15" hidden="false" customHeight="false" outlineLevel="0" collapsed="false">
      <c r="A23" s="9" t="str">
        <f aca="false">B23&amp;" - "&amp;C23</f>
        <v>Pelajar - PPT presentasi</v>
      </c>
      <c r="B23" s="9" t="s">
        <v>99</v>
      </c>
      <c r="C23" s="10" t="s">
        <v>84</v>
      </c>
      <c r="D23" s="11" t="n">
        <v>15000</v>
      </c>
      <c r="E23" s="10" t="n">
        <v>8</v>
      </c>
      <c r="F23" s="10" t="s">
        <v>85</v>
      </c>
      <c r="G23" s="11" t="n">
        <v>1500</v>
      </c>
      <c r="H23" s="10" t="s">
        <v>86</v>
      </c>
      <c r="I23" s="10" t="s">
        <v>76</v>
      </c>
    </row>
    <row r="24" customFormat="false" ht="15" hidden="false" customHeight="false" outlineLevel="0" collapsed="false">
      <c r="A24" s="9" t="str">
        <f aca="false">B24&amp;" - "&amp;C24</f>
        <v>Pelajar - Soal latihan + pembahasan</v>
      </c>
      <c r="B24" s="9" t="s">
        <v>99</v>
      </c>
      <c r="C24" s="10" t="s">
        <v>106</v>
      </c>
      <c r="D24" s="11" t="n">
        <v>10000</v>
      </c>
      <c r="E24" s="10" t="n">
        <v>10</v>
      </c>
      <c r="F24" s="10" t="s">
        <v>90</v>
      </c>
      <c r="G24" s="11" t="n">
        <v>1000</v>
      </c>
      <c r="H24" s="10" t="s">
        <v>75</v>
      </c>
      <c r="I24" s="10" t="s">
        <v>76</v>
      </c>
    </row>
    <row r="25" customFormat="false" ht="15" hidden="false" customHeight="false" outlineLevel="0" collapsed="false">
      <c r="A25" s="9" t="str">
        <f aca="false">B25&amp;" - "&amp;C25</f>
        <v>Pelajar - Perbaikan tata bahasa</v>
      </c>
      <c r="B25" s="9" t="s">
        <v>99</v>
      </c>
      <c r="C25" s="10" t="s">
        <v>107</v>
      </c>
      <c r="D25" s="11" t="n">
        <v>8000</v>
      </c>
      <c r="E25" s="10" t="n">
        <v>10</v>
      </c>
      <c r="F25" s="10" t="s">
        <v>78</v>
      </c>
      <c r="G25" s="11" t="n">
        <v>1000</v>
      </c>
      <c r="H25" s="10" t="s">
        <v>75</v>
      </c>
      <c r="I25" s="10" t="s">
        <v>76</v>
      </c>
    </row>
    <row r="26" customFormat="false" ht="15" hidden="false" customHeight="false" outlineLevel="0" collapsed="false">
      <c r="A26" s="9" t="str">
        <f aca="false">B26&amp;" - "&amp;C26</f>
        <v>Pelajar - Surat, CV, motivasi beasiswa</v>
      </c>
      <c r="B26" s="9" t="s">
        <v>99</v>
      </c>
      <c r="C26" s="10" t="s">
        <v>108</v>
      </c>
      <c r="D26" s="11" t="n">
        <v>12000</v>
      </c>
      <c r="E26" s="10" t="n">
        <v>1</v>
      </c>
      <c r="F26" s="10" t="s">
        <v>93</v>
      </c>
      <c r="G26" s="11" t="n">
        <v>0</v>
      </c>
      <c r="H26" s="10" t="s">
        <v>75</v>
      </c>
      <c r="I26" s="10" t="s">
        <v>76</v>
      </c>
    </row>
    <row r="27" customFormat="false" ht="15" hidden="false" customHeight="false" outlineLevel="0" collapsed="false">
      <c r="A27" s="9" t="str">
        <f aca="false">B27&amp;" - "&amp;C27</f>
        <v>Pelajar - Tugas lainnya</v>
      </c>
      <c r="B27" s="9" t="s">
        <v>99</v>
      </c>
      <c r="C27" s="10" t="s">
        <v>97</v>
      </c>
      <c r="D27" s="11" t="n">
        <v>20000</v>
      </c>
      <c r="E27" s="10" t="n">
        <v>2</v>
      </c>
      <c r="F27" s="10" t="s">
        <v>98</v>
      </c>
      <c r="G27" s="11" t="n">
        <v>5000</v>
      </c>
      <c r="H27" s="10" t="s">
        <v>75</v>
      </c>
      <c r="I27" s="10" t="s">
        <v>76</v>
      </c>
    </row>
    <row r="29" customFormat="false" ht="15" hidden="false" customHeight="false" outlineLevel="0" collapsed="false">
      <c r="A29" s="12" t="s">
        <v>109</v>
      </c>
    </row>
  </sheetData>
  <dataValidations count="2">
    <dataValidation allowBlank="false" errorStyle="stop" operator="between" showDropDown="false" showErrorMessage="false" showInputMessage="false" sqref="I2:I27" type="list">
      <formula1>"Ya,Tidak"</formula1>
      <formula2>0</formula2>
    </dataValidation>
    <dataValidation allowBlank="false" errorStyle="stop" operator="between" showDropDown="false" showErrorMessage="false" showInputMessage="false" sqref="H2:H27" type="list">
      <formula1>"Teks,Word,PDF,PPT,Excel"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2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13" t="s">
        <v>111</v>
      </c>
    </row>
    <row r="3" customFormat="false" ht="15" hidden="false" customHeight="false" outlineLevel="0" collapsed="false">
      <c r="A3" s="7" t="s">
        <v>112</v>
      </c>
      <c r="B3" s="14" t="n">
        <v>20</v>
      </c>
      <c r="C3" s="12" t="s">
        <v>113</v>
      </c>
    </row>
    <row r="4" customFormat="false" ht="15" hidden="false" customHeight="false" outlineLevel="0" collapsed="false">
      <c r="A4" s="7" t="s">
        <v>114</v>
      </c>
      <c r="B4" s="14" t="n">
        <v>10</v>
      </c>
      <c r="C4" s="12" t="s">
        <v>115</v>
      </c>
    </row>
    <row r="5" customFormat="false" ht="15" hidden="false" customHeight="false" outlineLevel="0" collapsed="false">
      <c r="A5" s="7" t="s">
        <v>116</v>
      </c>
      <c r="B5" s="15" t="n">
        <v>3000</v>
      </c>
      <c r="C5" s="12"/>
    </row>
    <row r="6" customFormat="false" ht="15" hidden="false" customHeight="false" outlineLevel="0" collapsed="false">
      <c r="A6" s="7" t="s">
        <v>117</v>
      </c>
      <c r="B6" s="14" t="n">
        <v>100</v>
      </c>
      <c r="C6" s="12" t="s">
        <v>118</v>
      </c>
    </row>
    <row r="8" customFormat="false" ht="15" hidden="false" customHeight="false" outlineLevel="0" collapsed="false">
      <c r="A8" s="13" t="s">
        <v>119</v>
      </c>
    </row>
    <row r="9" customFormat="false" ht="15" hidden="false" customHeight="false" outlineLevel="0" collapsed="false">
      <c r="A9" s="7" t="s">
        <v>120</v>
      </c>
      <c r="B9" s="15" t="n">
        <v>5000</v>
      </c>
      <c r="C9" s="12" t="s">
        <v>121</v>
      </c>
    </row>
    <row r="10" customFormat="false" ht="15" hidden="false" customHeight="false" outlineLevel="0" collapsed="false">
      <c r="A10" s="7" t="s">
        <v>122</v>
      </c>
      <c r="B10" s="15" t="n">
        <v>15000</v>
      </c>
      <c r="C10" s="12"/>
    </row>
    <row r="11" customFormat="false" ht="15" hidden="false" customHeight="false" outlineLevel="0" collapsed="false">
      <c r="A11" s="7" t="s">
        <v>123</v>
      </c>
      <c r="B11" s="15" t="n">
        <v>10000</v>
      </c>
      <c r="C11" s="12"/>
    </row>
    <row r="13" customFormat="false" ht="15" hidden="false" customHeight="false" outlineLevel="0" collapsed="false">
      <c r="A13" s="13" t="s">
        <v>124</v>
      </c>
    </row>
    <row r="14" customFormat="false" ht="15" hidden="false" customHeight="false" outlineLevel="0" collapsed="false">
      <c r="A14" s="7" t="s">
        <v>125</v>
      </c>
      <c r="B14" s="16" t="n">
        <v>1.2</v>
      </c>
      <c r="C14" s="12" t="s">
        <v>126</v>
      </c>
    </row>
    <row r="15" customFormat="false" ht="15" hidden="false" customHeight="false" outlineLevel="0" collapsed="false">
      <c r="A15" s="7" t="s">
        <v>127</v>
      </c>
      <c r="B15" s="16" t="n">
        <v>0.8</v>
      </c>
      <c r="C15" s="12"/>
    </row>
    <row r="16" customFormat="false" ht="15" hidden="false" customHeight="false" outlineLevel="0" collapsed="false">
      <c r="A16" s="7" t="s">
        <v>128</v>
      </c>
      <c r="B16" s="16" t="n">
        <v>1.6</v>
      </c>
      <c r="C16" s="12"/>
    </row>
    <row r="17" customFormat="false" ht="15" hidden="false" customHeight="false" outlineLevel="0" collapsed="false">
      <c r="A17" s="7" t="s">
        <v>129</v>
      </c>
      <c r="B17" s="15" t="n">
        <v>1000</v>
      </c>
      <c r="C17" s="12"/>
    </row>
    <row r="19" customFormat="false" ht="15" hidden="false" customHeight="false" outlineLevel="0" collapsed="false">
      <c r="A19" s="13" t="s">
        <v>130</v>
      </c>
    </row>
    <row r="20" customFormat="false" ht="15" hidden="false" customHeight="false" outlineLevel="0" collapsed="false">
      <c r="A20" s="4" t="s">
        <v>131</v>
      </c>
      <c r="B20" s="4" t="s">
        <v>132</v>
      </c>
      <c r="C20" s="4" t="s">
        <v>133</v>
      </c>
    </row>
    <row r="21" customFormat="false" ht="15" hidden="false" customHeight="false" outlineLevel="0" collapsed="false">
      <c r="A21" s="14" t="n">
        <v>0</v>
      </c>
      <c r="B21" s="16" t="n">
        <v>1.5</v>
      </c>
      <c r="C21" s="12" t="s">
        <v>134</v>
      </c>
    </row>
    <row r="22" customFormat="false" ht="15" hidden="false" customHeight="false" outlineLevel="0" collapsed="false">
      <c r="A22" s="14" t="n">
        <v>1</v>
      </c>
      <c r="B22" s="16" t="n">
        <v>1.25</v>
      </c>
      <c r="C22" s="12" t="s">
        <v>135</v>
      </c>
    </row>
    <row r="23" customFormat="false" ht="15" hidden="false" customHeight="false" outlineLevel="0" collapsed="false">
      <c r="A23" s="14" t="n">
        <v>3</v>
      </c>
      <c r="B23" s="16" t="n">
        <v>1.1</v>
      </c>
      <c r="C23" s="12" t="s">
        <v>136</v>
      </c>
    </row>
    <row r="24" customFormat="false" ht="15" hidden="false" customHeight="false" outlineLevel="0" collapsed="false">
      <c r="A24" s="14" t="n">
        <v>5</v>
      </c>
      <c r="B24" s="16" t="n">
        <v>1</v>
      </c>
      <c r="C24" s="12" t="s">
        <v>137</v>
      </c>
    </row>
    <row r="25" customFormat="false" ht="15" hidden="false" customHeight="false" outlineLevel="0" collapsed="false">
      <c r="A25" s="12" t="s">
        <v>138</v>
      </c>
    </row>
    <row r="27" customFormat="false" ht="15" hidden="false" customHeight="false" outlineLevel="0" collapsed="false">
      <c r="A27" s="13" t="s">
        <v>139</v>
      </c>
    </row>
    <row r="28" customFormat="false" ht="15" hidden="false" customHeight="false" outlineLevel="0" collapsed="false">
      <c r="A28" s="7" t="s">
        <v>140</v>
      </c>
      <c r="B28" s="17" t="n">
        <v>0.5</v>
      </c>
      <c r="C28" s="12"/>
    </row>
    <row r="29" customFormat="false" ht="15" hidden="false" customHeight="false" outlineLevel="0" collapsed="false">
      <c r="A29" s="7" t="s">
        <v>141</v>
      </c>
      <c r="B29" s="14" t="n">
        <v>2</v>
      </c>
      <c r="C29" s="12"/>
    </row>
    <row r="30" customFormat="false" ht="15" hidden="false" customHeight="false" outlineLevel="0" collapsed="false">
      <c r="A30" s="7" t="s">
        <v>142</v>
      </c>
      <c r="B30" s="15" t="n">
        <v>5000</v>
      </c>
      <c r="C30" s="12" t="s">
        <v>143</v>
      </c>
    </row>
    <row r="31" customFormat="false" ht="15" hidden="false" customHeight="false" outlineLevel="0" collapsed="false">
      <c r="A31" s="7" t="s">
        <v>144</v>
      </c>
      <c r="B31" s="18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4"/>
  </cols>
  <sheetData>
    <row r="1" customFormat="false" ht="17.35" hidden="false" customHeight="false" outlineLevel="0" collapsed="false">
      <c r="A1" s="1" t="s">
        <v>146</v>
      </c>
    </row>
    <row r="2" customFormat="false" ht="15" hidden="false" customHeight="false" outlineLevel="0" collapsed="false">
      <c r="A2" s="12" t="s">
        <v>147</v>
      </c>
    </row>
    <row r="3" customFormat="false" ht="15" hidden="false" customHeight="false" outlineLevel="0" collapsed="false">
      <c r="A3" s="7" t="s">
        <v>148</v>
      </c>
      <c r="B3" s="14" t="s">
        <v>149</v>
      </c>
    </row>
    <row r="4" customFormat="false" ht="15" hidden="false" customHeight="false" outlineLevel="0" collapsed="false">
      <c r="A4" s="7" t="s">
        <v>150</v>
      </c>
      <c r="B4" s="14" t="n">
        <v>8</v>
      </c>
    </row>
    <row r="5" customFormat="false" ht="15" hidden="false" customHeight="false" outlineLevel="0" collapsed="false">
      <c r="A5" s="7" t="s">
        <v>151</v>
      </c>
      <c r="B5" s="14" t="n">
        <v>30</v>
      </c>
    </row>
    <row r="6" customFormat="false" ht="15" hidden="false" customHeight="false" outlineLevel="0" collapsed="false">
      <c r="A6" s="7" t="s">
        <v>152</v>
      </c>
      <c r="B6" s="14" t="n">
        <v>4</v>
      </c>
    </row>
    <row r="7" customFormat="false" ht="15" hidden="false" customHeight="false" outlineLevel="0" collapsed="false">
      <c r="A7" s="7" t="s">
        <v>153</v>
      </c>
      <c r="B7" s="14" t="s">
        <v>56</v>
      </c>
    </row>
    <row r="8" customFormat="false" ht="15" hidden="false" customHeight="false" outlineLevel="0" collapsed="false">
      <c r="A8" s="7" t="s">
        <v>154</v>
      </c>
      <c r="B8" s="14" t="s">
        <v>76</v>
      </c>
    </row>
    <row r="9" customFormat="false" ht="15" hidden="false" customHeight="false" outlineLevel="0" collapsed="false">
      <c r="A9" s="7" t="s">
        <v>155</v>
      </c>
      <c r="B9" s="14" t="s">
        <v>156</v>
      </c>
    </row>
    <row r="11" customFormat="false" ht="15" hidden="false" customHeight="false" outlineLevel="0" collapsed="false">
      <c r="A11" s="13" t="s">
        <v>157</v>
      </c>
    </row>
    <row r="12" customFormat="false" ht="15" hidden="false" customHeight="false" outlineLevel="0" collapsed="false">
      <c r="A12" s="7" t="s">
        <v>158</v>
      </c>
      <c r="B12" s="19" t="n">
        <f aca="false">INDEX(Tugas!$D$2:$D$27,MATCH($B$3,Tugas!$A$2:$A$27,0))</f>
        <v>40000</v>
      </c>
    </row>
    <row r="13" customFormat="false" ht="15" hidden="false" customHeight="false" outlineLevel="0" collapsed="false">
      <c r="A13" s="7" t="s">
        <v>68</v>
      </c>
      <c r="B13" s="9" t="n">
        <f aca="false">INDEX(Tugas!$E$2:$E$27,MATCH($B$3,Tugas!$A$2:$A$27,0))</f>
        <v>5</v>
      </c>
    </row>
    <row r="14" customFormat="false" ht="15" hidden="false" customHeight="false" outlineLevel="0" collapsed="false">
      <c r="A14" s="7" t="s">
        <v>159</v>
      </c>
      <c r="B14" s="19" t="n">
        <f aca="false">INDEX(Tugas!$G$2:$G$27,MATCH($B$3,Tugas!$A$2:$A$27,0))</f>
        <v>6000</v>
      </c>
    </row>
    <row r="15" customFormat="false" ht="15" hidden="false" customHeight="false" outlineLevel="0" collapsed="false">
      <c r="A15" s="7" t="s">
        <v>160</v>
      </c>
      <c r="B15" s="19" t="n">
        <f aca="false">MAX(0,B4-B13)*B14</f>
        <v>18000</v>
      </c>
    </row>
    <row r="16" customFormat="false" ht="15" hidden="false" customHeight="false" outlineLevel="0" collapsed="false">
      <c r="A16" s="7" t="s">
        <v>161</v>
      </c>
      <c r="B16" s="19" t="n">
        <f aca="false">IF(B5&lt;=Harga!B3,0,ROUNDUP((B5-Harga!B3)/Harga!B4,0)*Harga!B5)</f>
        <v>3000</v>
      </c>
    </row>
    <row r="17" customFormat="false" ht="15" hidden="false" customHeight="false" outlineLevel="0" collapsed="false">
      <c r="A17" s="7" t="s">
        <v>162</v>
      </c>
      <c r="B17" s="19" t="n">
        <f aca="false">B12+B15+B16</f>
        <v>61000</v>
      </c>
    </row>
    <row r="18" customFormat="false" ht="15" hidden="false" customHeight="false" outlineLevel="0" collapsed="false">
      <c r="A18" s="7" t="s">
        <v>130</v>
      </c>
      <c r="B18" s="20" t="n">
        <f aca="false">IFERROR(LOOKUP(B6,Harga!A21:A24,Harga!B21:B24),Harga!B21)</f>
        <v>1.1</v>
      </c>
    </row>
    <row r="19" customFormat="false" ht="15" hidden="false" customHeight="false" outlineLevel="0" collapsed="false">
      <c r="A19" s="7" t="s">
        <v>163</v>
      </c>
      <c r="B19" s="19" t="n">
        <f aca="false">B17*B18</f>
        <v>67100</v>
      </c>
    </row>
    <row r="20" customFormat="false" ht="15" hidden="false" customHeight="false" outlineLevel="0" collapsed="false">
      <c r="A20" s="7" t="s">
        <v>164</v>
      </c>
      <c r="B20" s="19" t="n">
        <f aca="false">IF(OR(B7="Teks",B7=INDEX(Tugas!$H$2:$H$27,MATCH($B$3,Tugas!$A$2:$A$27,0))),0,Harga!B9)</f>
        <v>5000</v>
      </c>
    </row>
    <row r="21" customFormat="false" ht="15" hidden="false" customHeight="false" outlineLevel="0" collapsed="false">
      <c r="A21" s="7" t="s">
        <v>165</v>
      </c>
      <c r="B21" s="19" t="n">
        <f aca="false">IF(B8="Ya",Harga!B10,0)</f>
        <v>15000</v>
      </c>
    </row>
    <row r="22" customFormat="false" ht="15" hidden="false" customHeight="false" outlineLevel="0" collapsed="false">
      <c r="A22" s="7" t="s">
        <v>166</v>
      </c>
      <c r="B22" s="19" t="n">
        <f aca="false">IF(B9="Ya",Harga!B11,0)</f>
        <v>0</v>
      </c>
    </row>
    <row r="23" customFormat="false" ht="15" hidden="false" customHeight="false" outlineLevel="0" collapsed="false">
      <c r="A23" s="7" t="s">
        <v>167</v>
      </c>
      <c r="B23" s="19" t="n">
        <f aca="false">B19+B20+B21+B22</f>
        <v>87100</v>
      </c>
    </row>
    <row r="24" customFormat="false" ht="15" hidden="false" customHeight="false" outlineLevel="0" collapsed="false">
      <c r="A24" s="7" t="s">
        <v>168</v>
      </c>
      <c r="B24" s="9" t="str">
        <f aca="false">IF(ISNUMBER(SEARCH("Tugas lainnya",B3)),"Ya","Tidak")</f>
        <v>Tidak</v>
      </c>
    </row>
    <row r="25" customFormat="false" ht="15" hidden="false" customHeight="false" outlineLevel="0" collapsed="false">
      <c r="A25" s="13" t="s">
        <v>169</v>
      </c>
      <c r="B25" s="21" t="n">
        <f aca="false">IF(B24="Ya",CEILING(ROUND(B23*Harga!B15,2),Harga!B17),CEILING(ROUND(B23,2),Harga!B17))</f>
        <v>88000</v>
      </c>
    </row>
    <row r="26" customFormat="false" ht="15" hidden="false" customHeight="false" outlineLevel="0" collapsed="false">
      <c r="A26" s="13" t="s">
        <v>170</v>
      </c>
      <c r="B26" s="21" t="n">
        <f aca="false">IF(B24="Ya",CEILING(ROUND(B23*Harga!B16,2),Harga!B17),CEILING(ROUND(B25*Harga!B14,2),Harga!B17))</f>
        <v>106000</v>
      </c>
    </row>
    <row r="27" customFormat="false" ht="15" hidden="false" customHeight="false" outlineLevel="0" collapsed="false">
      <c r="A27" s="7" t="s">
        <v>171</v>
      </c>
      <c r="B27" s="9" t="str">
        <f aca="false">IF(B5&gt;Harga!B6,"Lampiran lebih dari batas: hubungi kami",IF(B6&lt;=0,"Tenggat hari ini: perlu konfirmasi admin",""))</f>
        <v/>
      </c>
    </row>
    <row r="29" customFormat="false" ht="15" hidden="false" customHeight="false" outlineLevel="0" collapsed="false">
      <c r="A29" s="13" t="s">
        <v>172</v>
      </c>
      <c r="B29" s="13" t="str">
        <f aca="false">"Estimasi: Rp"&amp;TEXT(B25,"#,##0")&amp;" - Rp"&amp;TEXT(B26,"#,##0")</f>
        <v>Estimasi: Rp88,000 - Rp106,000</v>
      </c>
    </row>
    <row r="30" customFormat="false" ht="15" hidden="false" customHeight="false" outlineLevel="0" collapsed="false">
      <c r="A30" s="12" t="s">
        <v>173</v>
      </c>
    </row>
  </sheetData>
  <dataValidations count="3">
    <dataValidation allowBlank="false" errorStyle="stop" operator="between" showDropDown="false" showErrorMessage="false" showInputMessage="false" sqref="B3" type="list">
      <formula1>Tugas!$A$2:$A$27</formula1>
      <formula2>0</formula2>
    </dataValidation>
    <dataValidation allowBlank="false" errorStyle="stop" operator="between" showDropDown="false" showErrorMessage="false" showInputMessage="false" sqref="B7" type="list">
      <formula1>"Teks,Word,PDF,PPT,Excel"</formula1>
      <formula2>0</formula2>
    </dataValidation>
    <dataValidation allowBlank="false" errorStyle="stop" operator="between" showDropDown="false" showErrorMessage="false" showInputMessage="false" sqref="B8:B9" type="list">
      <formula1>"Ya,Tidak"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7" min="5" style="0" width="9"/>
    <col collapsed="false" customWidth="true" hidden="false" outlineLevel="0" max="8" min="8" style="0" width="11"/>
    <col collapsed="false" customWidth="true" hidden="false" outlineLevel="0" max="10" min="9" style="0" width="16"/>
    <col collapsed="false" customWidth="true" hidden="false" outlineLevel="0" max="13" min="11" style="0" width="14"/>
    <col collapsed="false" customWidth="true" hidden="false" outlineLevel="0" max="14" min="14" style="0" width="9"/>
  </cols>
  <sheetData>
    <row r="1" customFormat="false" ht="17.35" hidden="false" customHeight="false" outlineLevel="0" collapsed="false">
      <c r="A1" s="1" t="s">
        <v>174</v>
      </c>
    </row>
    <row r="3" customFormat="false" ht="42" hidden="false" customHeight="true" outlineLevel="0" collapsed="false">
      <c r="A3" s="4" t="s">
        <v>175</v>
      </c>
      <c r="B3" s="4" t="s">
        <v>176</v>
      </c>
      <c r="C3" s="4" t="s">
        <v>32</v>
      </c>
      <c r="D3" s="4" t="s">
        <v>31</v>
      </c>
      <c r="E3" s="4" t="s">
        <v>177</v>
      </c>
      <c r="F3" s="4" t="s">
        <v>178</v>
      </c>
      <c r="G3" s="4" t="s">
        <v>179</v>
      </c>
      <c r="H3" s="4" t="s">
        <v>180</v>
      </c>
      <c r="I3" s="4" t="s">
        <v>181</v>
      </c>
      <c r="J3" s="4" t="s">
        <v>182</v>
      </c>
      <c r="K3" s="4" t="s">
        <v>183</v>
      </c>
      <c r="L3" s="4" t="s">
        <v>184</v>
      </c>
      <c r="M3" s="4" t="s">
        <v>185</v>
      </c>
      <c r="N3" s="4" t="s">
        <v>186</v>
      </c>
    </row>
    <row r="4" customFormat="false" ht="15" hidden="false" customHeight="false" outlineLevel="0" collapsed="false">
      <c r="A4" s="9" t="n">
        <v>1</v>
      </c>
      <c r="B4" s="14" t="s">
        <v>149</v>
      </c>
      <c r="C4" s="14" t="n">
        <v>8</v>
      </c>
      <c r="D4" s="14" t="n">
        <v>30</v>
      </c>
      <c r="E4" s="14" t="n">
        <v>4</v>
      </c>
      <c r="F4" s="14" t="s">
        <v>56</v>
      </c>
      <c r="G4" s="14" t="s">
        <v>76</v>
      </c>
      <c r="H4" s="14" t="s">
        <v>156</v>
      </c>
      <c r="I4" s="15" t="n">
        <v>88000</v>
      </c>
      <c r="J4" s="15" t="n">
        <v>106000</v>
      </c>
      <c r="K4" s="19" t="n">
        <f aca="false">(INDEX(Tugas!$D$2:$D$27,MATCH($B4,Tugas!$A$2:$A$27,0))+MAX(0,C4-INDEX(Tugas!$E$2:$E$27,MATCH($B4,Tugas!$A$2:$A$27,0)))*INDEX(Tugas!$G$2:$G$27,MATCH($B4,Tugas!$A$2:$A$27,0))+IF(D4&lt;=Harga!$B$3,0,ROUNDUP((D4-Harga!$B$3)/Harga!$B$4,0)*Harga!$B$5))*IFERROR(LOOKUP(E4,Harga!$A$21:$A$24,Harga!$B$21:$B$24),Harga!$B$21)+IF(OR(F4="Teks",F4=INDEX(Tugas!$H$2:$H$27,MATCH($B4,Tugas!$A$2:$A$27,0))),0,Harga!$B$9)+IF(G4="Ya",Harga!$B$10,0)+IF(H4="Ya",Harga!$B$11,0)</f>
        <v>87100</v>
      </c>
      <c r="L4" s="19" t="n">
        <f aca="false">IF(ISNUMBER(SEARCH("Tugas lainnya",B4)),CEILING(ROUND(K4*Harga!$B$15,2),Harga!$B$17),CEILING(ROUND(K4,2),Harga!$B$17))</f>
        <v>88000</v>
      </c>
      <c r="M4" s="19" t="n">
        <f aca="false">IF(ISNUMBER(SEARCH("Tugas lainnya",B4)),CEILING(ROUND(K4*Harga!$B$16,2),Harga!$B$17),CEILING(ROUND(L4*Harga!$B$14,2),Harga!$B$17))</f>
        <v>106000</v>
      </c>
      <c r="N4" s="9" t="str">
        <f aca="false">IF(AND(L4=I4,M4=J4),"OK","CEK")</f>
        <v>OK</v>
      </c>
    </row>
    <row r="5" customFormat="false" ht="15" hidden="false" customHeight="false" outlineLevel="0" collapsed="false">
      <c r="A5" s="9" t="n">
        <v>2</v>
      </c>
      <c r="B5" s="14" t="s">
        <v>187</v>
      </c>
      <c r="C5" s="14" t="n">
        <v>12</v>
      </c>
      <c r="D5" s="14" t="n">
        <v>10</v>
      </c>
      <c r="E5" s="14" t="n">
        <v>6</v>
      </c>
      <c r="F5" s="14" t="s">
        <v>86</v>
      </c>
      <c r="G5" s="14" t="s">
        <v>156</v>
      </c>
      <c r="H5" s="14" t="s">
        <v>156</v>
      </c>
      <c r="I5" s="15" t="n">
        <v>21000</v>
      </c>
      <c r="J5" s="15" t="n">
        <v>26000</v>
      </c>
      <c r="K5" s="19" t="n">
        <f aca="false">(INDEX(Tugas!$D$2:$D$27,MATCH($B5,Tugas!$A$2:$A$27,0))+MAX(0,C5-INDEX(Tugas!$E$2:$E$27,MATCH($B5,Tugas!$A$2:$A$27,0)))*INDEX(Tugas!$G$2:$G$27,MATCH($B5,Tugas!$A$2:$A$27,0))+IF(D5&lt;=Harga!$B$3,0,ROUNDUP((D5-Harga!$B$3)/Harga!$B$4,0)*Harga!$B$5))*IFERROR(LOOKUP(E5,Harga!$A$21:$A$24,Harga!$B$21:$B$24),Harga!$B$21)+IF(OR(F5="Teks",F5=INDEX(Tugas!$H$2:$H$27,MATCH($B5,Tugas!$A$2:$A$27,0))),0,Harga!$B$9)+IF(G5="Ya",Harga!$B$10,0)+IF(H5="Ya",Harga!$B$11,0)</f>
        <v>21000</v>
      </c>
      <c r="L5" s="19" t="n">
        <f aca="false">IF(ISNUMBER(SEARCH("Tugas lainnya",B5)),CEILING(ROUND(K5*Harga!$B$15,2),Harga!$B$17),CEILING(ROUND(K5,2),Harga!$B$17))</f>
        <v>21000</v>
      </c>
      <c r="M5" s="19" t="n">
        <f aca="false">IF(ISNUMBER(SEARCH("Tugas lainnya",B5)),CEILING(ROUND(K5*Harga!$B$16,2),Harga!$B$17),CEILING(ROUND(L5*Harga!$B$14,2),Harga!$B$17))</f>
        <v>26000</v>
      </c>
      <c r="N5" s="9" t="str">
        <f aca="false">IF(AND(L5=I5,M5=J5),"OK","CEK")</f>
        <v>OK</v>
      </c>
    </row>
    <row r="6" customFormat="false" ht="15" hidden="false" customHeight="false" outlineLevel="0" collapsed="false">
      <c r="A6" s="9" t="n">
        <v>3</v>
      </c>
      <c r="B6" s="14" t="s">
        <v>188</v>
      </c>
      <c r="C6" s="14" t="n">
        <v>3</v>
      </c>
      <c r="D6" s="14" t="n">
        <v>5</v>
      </c>
      <c r="E6" s="14" t="n">
        <v>1</v>
      </c>
      <c r="F6" s="14" t="s">
        <v>88</v>
      </c>
      <c r="G6" s="14" t="s">
        <v>156</v>
      </c>
      <c r="H6" s="14" t="s">
        <v>76</v>
      </c>
      <c r="I6" s="15" t="n">
        <v>64000</v>
      </c>
      <c r="J6" s="15" t="n">
        <v>77000</v>
      </c>
      <c r="K6" s="19" t="n">
        <f aca="false">(INDEX(Tugas!$D$2:$D$27,MATCH($B6,Tugas!$A$2:$A$27,0))+MAX(0,C6-INDEX(Tugas!$E$2:$E$27,MATCH($B6,Tugas!$A$2:$A$27,0)))*INDEX(Tugas!$G$2:$G$27,MATCH($B6,Tugas!$A$2:$A$27,0))+IF(D6&lt;=Harga!$B$3,0,ROUNDUP((D6-Harga!$B$3)/Harga!$B$4,0)*Harga!$B$5))*IFERROR(LOOKUP(E6,Harga!$A$21:$A$24,Harga!$B$21:$B$24),Harga!$B$21)+IF(OR(F6="Teks",F6=INDEX(Tugas!$H$2:$H$27,MATCH($B6,Tugas!$A$2:$A$27,0))),0,Harga!$B$9)+IF(G6="Ya",Harga!$B$10,0)+IF(H6="Ya",Harga!$B$11,0)</f>
        <v>63750</v>
      </c>
      <c r="L6" s="19" t="n">
        <f aca="false">IF(ISNUMBER(SEARCH("Tugas lainnya",B6)),CEILING(ROUND(K6*Harga!$B$15,2),Harga!$B$17),CEILING(ROUND(K6,2),Harga!$B$17))</f>
        <v>64000</v>
      </c>
      <c r="M6" s="19" t="n">
        <f aca="false">IF(ISNUMBER(SEARCH("Tugas lainnya",B6)),CEILING(ROUND(K6*Harga!$B$16,2),Harga!$B$17),CEILING(ROUND(L6*Harga!$B$14,2),Harga!$B$17))</f>
        <v>77000</v>
      </c>
      <c r="N6" s="9" t="str">
        <f aca="false">IF(AND(L6=I6,M6=J6),"OK","CEK")</f>
        <v>OK</v>
      </c>
    </row>
    <row r="7" customFormat="false" ht="15" hidden="false" customHeight="false" outlineLevel="0" collapsed="false">
      <c r="A7" s="9" t="n">
        <v>4</v>
      </c>
      <c r="B7" s="14" t="s">
        <v>189</v>
      </c>
      <c r="C7" s="14" t="n">
        <v>4</v>
      </c>
      <c r="D7" s="14" t="n">
        <v>0</v>
      </c>
      <c r="E7" s="14" t="n">
        <v>6</v>
      </c>
      <c r="F7" s="14" t="s">
        <v>96</v>
      </c>
      <c r="G7" s="14" t="s">
        <v>156</v>
      </c>
      <c r="H7" s="14" t="s">
        <v>156</v>
      </c>
      <c r="I7" s="15" t="n">
        <v>30000</v>
      </c>
      <c r="J7" s="15" t="n">
        <v>60000</v>
      </c>
      <c r="K7" s="19" t="n">
        <f aca="false">(INDEX(Tugas!$D$2:$D$27,MATCH($B7,Tugas!$A$2:$A$27,0))+MAX(0,C7-INDEX(Tugas!$E$2:$E$27,MATCH($B7,Tugas!$A$2:$A$27,0)))*INDEX(Tugas!$G$2:$G$27,MATCH($B7,Tugas!$A$2:$A$27,0))+IF(D7&lt;=Harga!$B$3,0,ROUNDUP((D7-Harga!$B$3)/Harga!$B$4,0)*Harga!$B$5))*IFERROR(LOOKUP(E7,Harga!$A$21:$A$24,Harga!$B$21:$B$24),Harga!$B$21)+IF(OR(F7="Teks",F7=INDEX(Tugas!$H$2:$H$27,MATCH($B7,Tugas!$A$2:$A$27,0))),0,Harga!$B$9)+IF(G7="Ya",Harga!$B$10,0)+IF(H7="Ya",Harga!$B$11,0)</f>
        <v>37000</v>
      </c>
      <c r="L7" s="19" t="n">
        <f aca="false">IF(ISNUMBER(SEARCH("Tugas lainnya",B7)),CEILING(ROUND(K7*Harga!$B$15,2),Harga!$B$17),CEILING(ROUND(K7,2),Harga!$B$17))</f>
        <v>30000</v>
      </c>
      <c r="M7" s="19" t="n">
        <f aca="false">IF(ISNUMBER(SEARCH("Tugas lainnya",B7)),CEILING(ROUND(K7*Harga!$B$16,2),Harga!$B$17),CEILING(ROUND(L7*Harga!$B$14,2),Harga!$B$17))</f>
        <v>60000</v>
      </c>
      <c r="N7" s="9" t="str">
        <f aca="false">IF(AND(L7=I7,M7=J7),"OK","CEK")</f>
        <v>OK</v>
      </c>
    </row>
    <row r="8" customFormat="false" ht="15" hidden="false" customHeight="false" outlineLevel="0" collapsed="false">
      <c r="A8" s="9" t="n">
        <v>5</v>
      </c>
      <c r="B8" s="14" t="s">
        <v>190</v>
      </c>
      <c r="C8" s="14" t="n">
        <v>6</v>
      </c>
      <c r="D8" s="14" t="n">
        <v>45</v>
      </c>
      <c r="E8" s="14" t="n">
        <v>2</v>
      </c>
      <c r="F8" s="14" t="s">
        <v>96</v>
      </c>
      <c r="G8" s="14" t="s">
        <v>76</v>
      </c>
      <c r="H8" s="14" t="s">
        <v>156</v>
      </c>
      <c r="I8" s="15" t="n">
        <v>70000</v>
      </c>
      <c r="J8" s="15" t="n">
        <v>84000</v>
      </c>
      <c r="K8" s="19" t="n">
        <f aca="false">(INDEX(Tugas!$D$2:$D$27,MATCH($B8,Tugas!$A$2:$A$27,0))+MAX(0,C8-INDEX(Tugas!$E$2:$E$27,MATCH($B8,Tugas!$A$2:$A$27,0)))*INDEX(Tugas!$G$2:$G$27,MATCH($B8,Tugas!$A$2:$A$27,0))+IF(D8&lt;=Harga!$B$3,0,ROUNDUP((D8-Harga!$B$3)/Harga!$B$4,0)*Harga!$B$5))*IFERROR(LOOKUP(E8,Harga!$A$21:$A$24,Harga!$B$21:$B$24),Harga!$B$21)+IF(OR(F8="Teks",F8=INDEX(Tugas!$H$2:$H$27,MATCH($B8,Tugas!$A$2:$A$27,0))),0,Harga!$B$9)+IF(G8="Ya",Harga!$B$10,0)+IF(H8="Ya",Harga!$B$11,0)</f>
        <v>70000</v>
      </c>
      <c r="L8" s="19" t="n">
        <f aca="false">IF(ISNUMBER(SEARCH("Tugas lainnya",B8)),CEILING(ROUND(K8*Harga!$B$15,2),Harga!$B$17),CEILING(ROUND(K8,2),Harga!$B$17))</f>
        <v>70000</v>
      </c>
      <c r="M8" s="19" t="n">
        <f aca="false">IF(ISNUMBER(SEARCH("Tugas lainnya",B8)),CEILING(ROUND(K8*Harga!$B$16,2),Harga!$B$17),CEILING(ROUND(L8*Harga!$B$14,2),Harga!$B$17))</f>
        <v>84000</v>
      </c>
      <c r="N8" s="9" t="str">
        <f aca="false">IF(AND(L8=I8,M8=J8),"OK","CEK")</f>
        <v>OK</v>
      </c>
    </row>
    <row r="10" customFormat="false" ht="15" hidden="false" customHeight="false" outlineLevel="0" collapsed="false">
      <c r="A10" s="12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192</v>
      </c>
    </row>
    <row r="3" customFormat="false" ht="15" hidden="false" customHeight="false" outlineLevel="0" collapsed="false">
      <c r="A3" s="7" t="s">
        <v>193</v>
      </c>
      <c r="B3" s="9" t="n">
        <f aca="false">COUNTA(Pesanan!A2:A501)-COUNTIF(Pesanan!R2:R501,"Contoh")</f>
        <v>0</v>
      </c>
    </row>
    <row r="4" customFormat="false" ht="15" hidden="false" customHeight="false" outlineLevel="0" collapsed="false">
      <c r="A4" s="7" t="s">
        <v>194</v>
      </c>
      <c r="B4" s="9" t="n">
        <f aca="false">COUNTIF(Pesanan!R2:R501,"Draf")</f>
        <v>0</v>
      </c>
    </row>
    <row r="5" customFormat="false" ht="15" hidden="false" customHeight="false" outlineLevel="0" collapsed="false">
      <c r="A5" s="7" t="s">
        <v>195</v>
      </c>
      <c r="B5" s="9" t="n">
        <f aca="false">COUNTIF(Pesanan!R2:R501,"Dikonfirmasi")+COUNTIF(Pesanan!R2:R501,"Dikerjakan")+COUNTIF(Pesanan!R2:R501,"Revisi")</f>
        <v>0</v>
      </c>
    </row>
    <row r="6" customFormat="false" ht="15" hidden="false" customHeight="false" outlineLevel="0" collapsed="false">
      <c r="A6" s="7" t="s">
        <v>196</v>
      </c>
      <c r="B6" s="9" t="n">
        <f aca="false">COUNTIF(Pesanan!R2:R501,"Selesai")</f>
        <v>0</v>
      </c>
    </row>
    <row r="7" customFormat="false" ht="15" hidden="false" customHeight="false" outlineLevel="0" collapsed="false">
      <c r="A7" s="7" t="s">
        <v>197</v>
      </c>
      <c r="B7" s="9" t="n">
        <f aca="false">COUNTIF(Pesanan!R2:R501,"Ditolak")+COUNTIF(Pesanan!R2:R501,"Dibatalkan")</f>
        <v>0</v>
      </c>
    </row>
    <row r="8" customFormat="false" ht="15" hidden="false" customHeight="false" outlineLevel="0" collapsed="false">
      <c r="A8" s="7" t="s">
        <v>198</v>
      </c>
      <c r="B8" s="19" t="n">
        <f aca="false">SUMIFS(Pesanan!S2:S501,Pesanan!R2:R501,"Selesai")</f>
        <v>0</v>
      </c>
    </row>
    <row r="9" customFormat="false" ht="15" hidden="false" customHeight="false" outlineLevel="0" collapsed="false">
      <c r="A9" s="7" t="s">
        <v>199</v>
      </c>
      <c r="B9" s="19" t="n">
        <f aca="false">SUMIFS(Pesanan!X2:X501,Pesanan!R2:R501,"Selesai")</f>
        <v>0</v>
      </c>
    </row>
    <row r="10" customFormat="false" ht="15" hidden="false" customHeight="false" outlineLevel="0" collapsed="false">
      <c r="A10" s="7" t="s">
        <v>200</v>
      </c>
      <c r="B10" s="19" t="n">
        <f aca="false">B8-B9</f>
        <v>0</v>
      </c>
    </row>
    <row r="11" customFormat="false" ht="15" hidden="false" customHeight="false" outlineLevel="0" collapsed="false">
      <c r="A11" s="7" t="s">
        <v>201</v>
      </c>
      <c r="B11" s="19" t="n">
        <f aca="false">IFERROR(B8/B6,0)</f>
        <v>0</v>
      </c>
    </row>
    <row r="12" customFormat="false" ht="15" hidden="false" customHeight="false" outlineLevel="0" collapsed="false">
      <c r="A12" s="7" t="s">
        <v>202</v>
      </c>
      <c r="B12" s="9" t="n">
        <f aca="false">SUMIFS(Pesanan!Y2:Y501,Pesanan!R2:R501,"Selesai")</f>
        <v>0</v>
      </c>
    </row>
    <row r="13" customFormat="false" ht="15" hidden="false" customHeight="false" outlineLevel="0" collapsed="false">
      <c r="A13" s="7" t="s">
        <v>203</v>
      </c>
      <c r="B13" s="19" t="n">
        <f aca="false">IFERROR(B10/(B12/60),0)</f>
        <v>0</v>
      </c>
    </row>
    <row r="15" customFormat="false" ht="15" hidden="false" customHeight="false" outlineLevel="0" collapsed="false">
      <c r="A15" s="12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2026-10-24T11:17:31Z</dcterms:created>
  <dc:creator>openpyxl</dc:creator>
  <dc:description/>
  <dc:language>en-US</dc:language>
  <cp:lastModifiedBy/>
  <dcterms:modified xsi:type="dcterms:W3CDTF">2026-10-24T11:17:31Z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